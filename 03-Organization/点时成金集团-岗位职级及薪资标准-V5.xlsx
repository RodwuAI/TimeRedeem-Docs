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0"/>
  <workbookPr/>
  <mc:AlternateContent xmlns:mc="http://schemas.openxmlformats.org/markup-compatibility/2006">
    <mc:Choice Requires="x15">
      <x15ac:absPath xmlns:x15ac="http://schemas.microsoft.com/office/spreadsheetml/2010/11/ac" url="/Users/fiveowu/Desktop/"/>
    </mc:Choice>
  </mc:AlternateContent>
  <xr:revisionPtr revIDLastSave="0" documentId="13_ncr:1_{C72739AB-A1C3-5048-8CF7-7EE4E901FD14}" xr6:coauthVersionLast="47" xr6:coauthVersionMax="47" xr10:uidLastSave="{00000000-0000-0000-0000-000000000000}"/>
  <bookViews>
    <workbookView xWindow="4080" yWindow="760" windowWidth="27940" windowHeight="19460" activeTab="3" xr2:uid="{00000000-000D-0000-FFFF-FFFF00000000}"/>
  </bookViews>
  <sheets>
    <sheet name="职级对应薪酬表" sheetId="5" r:id="rId1"/>
    <sheet name="现有人员薪资" sheetId="7" r:id="rId2"/>
    <sheet name="一线公司职级薪酬对应表" sheetId="8" r:id="rId3"/>
    <sheet name="职级标准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8" i="7" l="1"/>
  <c r="E28" i="7"/>
  <c r="J27" i="7"/>
  <c r="E27" i="7"/>
  <c r="J26" i="7"/>
  <c r="J25" i="7"/>
  <c r="J24" i="7"/>
  <c r="J23" i="7"/>
  <c r="J22" i="7"/>
  <c r="I22" i="7"/>
  <c r="J21" i="7"/>
  <c r="I21" i="7"/>
  <c r="J20" i="7"/>
  <c r="I20" i="7"/>
  <c r="J19" i="7"/>
  <c r="I19" i="7"/>
  <c r="J18" i="7"/>
  <c r="I18" i="7"/>
  <c r="J17" i="7"/>
  <c r="I17" i="7"/>
  <c r="J16" i="7"/>
  <c r="I16" i="7"/>
  <c r="J15" i="7"/>
  <c r="I15" i="7"/>
  <c r="J13" i="7"/>
  <c r="E13" i="7"/>
  <c r="J12" i="7"/>
  <c r="I12" i="7"/>
  <c r="J11" i="7"/>
  <c r="I11" i="7"/>
  <c r="J10" i="7"/>
  <c r="J9" i="7"/>
  <c r="I9" i="7"/>
  <c r="J8" i="7"/>
  <c r="I8" i="7"/>
  <c r="J7" i="7"/>
  <c r="I7" i="7"/>
  <c r="J6" i="7"/>
  <c r="I6" i="7"/>
  <c r="J5" i="7"/>
  <c r="I5" i="7"/>
  <c r="J4" i="7"/>
  <c r="I4" i="7"/>
  <c r="J3" i="7"/>
  <c r="I3" i="7"/>
</calcChain>
</file>

<file path=xl/sharedStrings.xml><?xml version="1.0" encoding="utf-8"?>
<sst xmlns="http://schemas.openxmlformats.org/spreadsheetml/2006/main" count="823" uniqueCount="463">
  <si>
    <t>M序列-职级对应薪酬表</t>
  </si>
  <si>
    <t>序列</t>
  </si>
  <si>
    <t>序列等级</t>
  </si>
  <si>
    <t>职级</t>
  </si>
  <si>
    <t>月薪范围</t>
  </si>
  <si>
    <t>年薪范围（万元）</t>
  </si>
  <si>
    <t>带宽</t>
  </si>
  <si>
    <t>实际执行情况
（在岗人员月度薪酬范围）</t>
  </si>
  <si>
    <t>与市场薪酬对比降幅比</t>
  </si>
  <si>
    <t>管理序列</t>
  </si>
  <si>
    <t>M9</t>
  </si>
  <si>
    <t>首席执行官/技术官/运营官/财务官</t>
  </si>
  <si>
    <t>150K以上</t>
  </si>
  <si>
    <t>180以上</t>
  </si>
  <si>
    <t>-</t>
  </si>
  <si>
    <t>M8</t>
  </si>
  <si>
    <t>集团副总裁</t>
  </si>
  <si>
    <t>90-150K</t>
  </si>
  <si>
    <t>108-180</t>
  </si>
  <si>
    <t>M7</t>
  </si>
  <si>
    <t>高级总监、区域总经理</t>
  </si>
  <si>
    <t>70-100K</t>
  </si>
  <si>
    <t>84-120</t>
  </si>
  <si>
    <t>35-50k</t>
  </si>
  <si>
    <r>
      <t>↓</t>
    </r>
    <r>
      <rPr>
        <sz val="11"/>
        <color theme="1"/>
        <rFont val="Calibri"/>
        <family val="4"/>
        <charset val="134"/>
        <scheme val="minor"/>
      </rPr>
      <t>50%</t>
    </r>
  </si>
  <si>
    <t>M6</t>
  </si>
  <si>
    <t>总监</t>
  </si>
  <si>
    <t>50-70K</t>
  </si>
  <si>
    <t>60-84</t>
  </si>
  <si>
    <t>30-40k</t>
  </si>
  <si>
    <r>
      <t>↓</t>
    </r>
    <r>
      <rPr>
        <sz val="11"/>
        <color theme="1"/>
        <rFont val="Calibri"/>
        <family val="4"/>
        <charset val="134"/>
        <scheme val="minor"/>
      </rPr>
      <t>40%</t>
    </r>
  </si>
  <si>
    <t>M5</t>
  </si>
  <si>
    <t>高级经理</t>
  </si>
  <si>
    <t>40-55K</t>
  </si>
  <si>
    <t>48-66</t>
  </si>
  <si>
    <t>25-35k</t>
  </si>
  <si>
    <r>
      <t>↓</t>
    </r>
    <r>
      <rPr>
        <sz val="11"/>
        <color theme="1"/>
        <rFont val="Calibri"/>
        <family val="4"/>
        <charset val="134"/>
        <scheme val="minor"/>
      </rPr>
      <t>37%</t>
    </r>
  </si>
  <si>
    <t>M4</t>
  </si>
  <si>
    <t>经理</t>
  </si>
  <si>
    <t>30-45K</t>
  </si>
  <si>
    <t>36-54</t>
  </si>
  <si>
    <t>20-30k</t>
  </si>
  <si>
    <r>
      <t>↓</t>
    </r>
    <r>
      <rPr>
        <sz val="11"/>
        <color theme="1"/>
        <rFont val="Calibri"/>
        <family val="4"/>
        <charset val="134"/>
        <scheme val="minor"/>
      </rPr>
      <t>33%</t>
    </r>
  </si>
  <si>
    <t>M3</t>
  </si>
  <si>
    <t>主管</t>
  </si>
  <si>
    <t>25-35K</t>
  </si>
  <si>
    <t>30-42</t>
  </si>
  <si>
    <t>20-25k</t>
  </si>
  <si>
    <r>
      <t>↓</t>
    </r>
    <r>
      <rPr>
        <sz val="11"/>
        <color theme="1"/>
        <rFont val="Calibri"/>
        <family val="4"/>
        <charset val="134"/>
        <scheme val="minor"/>
      </rPr>
      <t>20-28%</t>
    </r>
  </si>
  <si>
    <t>M2</t>
  </si>
  <si>
    <t xml:space="preserve">高级专员 </t>
  </si>
  <si>
    <t>20-30K</t>
  </si>
  <si>
    <t>24-36</t>
  </si>
  <si>
    <t>15-20k</t>
  </si>
  <si>
    <r>
      <t>↓</t>
    </r>
    <r>
      <rPr>
        <sz val="11"/>
        <color theme="1"/>
        <rFont val="Calibri"/>
        <family val="4"/>
        <charset val="134"/>
        <scheme val="minor"/>
      </rPr>
      <t>25-33%</t>
    </r>
  </si>
  <si>
    <t>M1</t>
  </si>
  <si>
    <t xml:space="preserve">专员/助理 </t>
  </si>
  <si>
    <t>10-20K</t>
  </si>
  <si>
    <t>12-24</t>
  </si>
  <si>
    <t>10-15k</t>
  </si>
  <si>
    <r>
      <t>↓</t>
    </r>
    <r>
      <rPr>
        <sz val="11"/>
        <color theme="1"/>
        <rFont val="Calibri"/>
        <family val="4"/>
        <charset val="134"/>
        <scheme val="minor"/>
      </rPr>
      <t>25%</t>
    </r>
  </si>
  <si>
    <t>P序列-职级对应薪酬表</t>
  </si>
  <si>
    <t>薪酬范围</t>
  </si>
  <si>
    <t>专业 / 技术序列</t>
  </si>
  <si>
    <t>P9</t>
  </si>
  <si>
    <t>首席技术官（CTO）</t>
  </si>
  <si>
    <t>P8</t>
  </si>
  <si>
    <t>首席专家</t>
  </si>
  <si>
    <t>P7</t>
  </si>
  <si>
    <t>资深专家</t>
  </si>
  <si>
    <t>↓50%</t>
  </si>
  <si>
    <t>P6</t>
  </si>
  <si>
    <t>高级专家</t>
  </si>
  <si>
    <t>↓40%</t>
  </si>
  <si>
    <t>P5</t>
  </si>
  <si>
    <t>专家</t>
  </si>
  <si>
    <t>40-60K</t>
  </si>
  <si>
    <t>48-72</t>
  </si>
  <si>
    <t>25-30k</t>
  </si>
  <si>
    <r>
      <t>↓</t>
    </r>
    <r>
      <rPr>
        <sz val="11"/>
        <color theme="1"/>
        <rFont val="Calibri"/>
        <family val="4"/>
        <charset val="134"/>
        <scheme val="minor"/>
      </rPr>
      <t>37-50%</t>
    </r>
  </si>
  <si>
    <t>P4</t>
  </si>
  <si>
    <t>高级工程师 / 技术员</t>
  </si>
  <si>
    <r>
      <t>↓</t>
    </r>
    <r>
      <rPr>
        <sz val="11"/>
        <color theme="1"/>
        <rFont val="Calibri"/>
        <family val="4"/>
        <charset val="134"/>
        <scheme val="minor"/>
      </rPr>
      <t>33-44%</t>
    </r>
  </si>
  <si>
    <t>P3</t>
  </si>
  <si>
    <t>中级工程师 / 技术员</t>
  </si>
  <si>
    <t>P2</t>
  </si>
  <si>
    <t>初级工程师 / 技术员</t>
  </si>
  <si>
    <t>P1</t>
  </si>
  <si>
    <t>S序列-职级对应薪酬表</t>
  </si>
  <si>
    <t>商务序列</t>
  </si>
  <si>
    <t>S9</t>
  </si>
  <si>
    <t>首席商务官（CBO）、首席品牌官等</t>
  </si>
  <si>
    <t>S8</t>
  </si>
  <si>
    <t>资深商务总监</t>
  </si>
  <si>
    <t>100-150</t>
  </si>
  <si>
    <t>120-180</t>
  </si>
  <si>
    <t>S7</t>
  </si>
  <si>
    <t>高级商务总监</t>
  </si>
  <si>
    <t>80-100K</t>
  </si>
  <si>
    <t>96-120</t>
  </si>
  <si>
    <r>
      <t>↓</t>
    </r>
    <r>
      <rPr>
        <sz val="11"/>
        <color theme="1"/>
        <rFont val="Calibri"/>
        <family val="4"/>
        <charset val="134"/>
        <scheme val="minor"/>
      </rPr>
      <t>56%</t>
    </r>
  </si>
  <si>
    <t>S6</t>
  </si>
  <si>
    <t>商务总监</t>
  </si>
  <si>
    <t>60-80K</t>
  </si>
  <si>
    <t>72-96</t>
  </si>
  <si>
    <t>S5</t>
  </si>
  <si>
    <t>高级商务经理</t>
  </si>
  <si>
    <t>54-72</t>
  </si>
  <si>
    <t>↓37-50%</t>
  </si>
  <si>
    <t>S4</t>
  </si>
  <si>
    <t>商务经理</t>
  </si>
  <si>
    <t>42-54</t>
  </si>
  <si>
    <t>↓33-44%</t>
  </si>
  <si>
    <t>S3</t>
  </si>
  <si>
    <t>商务主管</t>
  </si>
  <si>
    <t>20-35K</t>
  </si>
  <si>
    <r>
      <t>↓</t>
    </r>
    <r>
      <rPr>
        <sz val="11"/>
        <color theme="1"/>
        <rFont val="Calibri"/>
        <family val="4"/>
        <charset val="134"/>
        <scheme val="minor"/>
      </rPr>
      <t>25-42%</t>
    </r>
  </si>
  <si>
    <t>S2</t>
  </si>
  <si>
    <t xml:space="preserve">高级商务专员 </t>
  </si>
  <si>
    <t>15-20K</t>
  </si>
  <si>
    <t>S1</t>
  </si>
  <si>
    <t>商务专员/商务助理</t>
  </si>
  <si>
    <t>10-15K</t>
  </si>
  <si>
    <t>12-18</t>
  </si>
  <si>
    <t>上海时兑科技有限公司人员薪资信息</t>
  </si>
  <si>
    <t>数字货币占比标准</t>
  </si>
  <si>
    <t>职位状态</t>
  </si>
  <si>
    <t>姓名</t>
  </si>
  <si>
    <t>部门</t>
  </si>
  <si>
    <t>职位</t>
  </si>
  <si>
    <t>月工资（元）</t>
  </si>
  <si>
    <r>
      <rPr>
        <b/>
        <sz val="11"/>
        <color rgb="FFFF0000"/>
        <rFont val="Calibri"/>
        <family val="4"/>
        <charset val="134"/>
        <scheme val="minor"/>
      </rPr>
      <t>上市前</t>
    </r>
    <r>
      <rPr>
        <b/>
        <sz val="11"/>
        <color theme="0"/>
        <rFont val="Calibri"/>
        <family val="4"/>
        <charset val="134"/>
        <scheme val="minor"/>
      </rPr>
      <t>工资结构</t>
    </r>
  </si>
  <si>
    <r>
      <rPr>
        <b/>
        <sz val="11"/>
        <color rgb="FFFF0000"/>
        <rFont val="Calibri"/>
        <family val="4"/>
        <charset val="134"/>
        <scheme val="minor"/>
      </rPr>
      <t>上市后</t>
    </r>
    <r>
      <rPr>
        <b/>
        <sz val="11"/>
        <color theme="0"/>
        <rFont val="Calibri"/>
        <family val="4"/>
        <charset val="134"/>
        <scheme val="minor"/>
      </rPr>
      <t>工资结构</t>
    </r>
  </si>
  <si>
    <t>对标市场同岗位月薪情况（取中位数）</t>
  </si>
  <si>
    <t>薪资差异率</t>
  </si>
  <si>
    <r>
      <rPr>
        <b/>
        <sz val="11"/>
        <color theme="1"/>
        <rFont val="Calibri"/>
        <family val="4"/>
        <charset val="134"/>
        <scheme val="minor"/>
      </rPr>
      <t>单位预估总成本</t>
    </r>
    <r>
      <rPr>
        <sz val="11"/>
        <color theme="1"/>
        <rFont val="Calibri"/>
        <family val="4"/>
        <charset val="134"/>
        <scheme val="minor"/>
      </rPr>
      <t>（包含五险一金及税费）</t>
    </r>
  </si>
  <si>
    <t>管理/职能线(M)</t>
  </si>
  <si>
    <t>专业线(P)</t>
  </si>
  <si>
    <t>商务线(S)</t>
  </si>
  <si>
    <t>在职员工</t>
  </si>
  <si>
    <t>韦达</t>
  </si>
  <si>
    <t>产品策划部</t>
  </si>
  <si>
    <t>产品经理</t>
  </si>
  <si>
    <r>
      <rPr>
        <sz val="11"/>
        <color theme="1"/>
        <rFont val="Calibri"/>
        <family val="4"/>
        <charset val="134"/>
        <scheme val="minor"/>
      </rPr>
      <t>人民币：22950元</t>
    </r>
    <r>
      <rPr>
        <b/>
        <sz val="11"/>
        <color theme="1"/>
        <rFont val="Calibri"/>
        <family val="4"/>
        <charset val="134"/>
        <scheme val="minor"/>
      </rPr>
      <t>+</t>
    </r>
    <r>
      <rPr>
        <sz val="11"/>
        <color theme="1"/>
        <rFont val="Calibri"/>
        <family val="4"/>
        <charset val="134"/>
        <scheme val="minor"/>
      </rPr>
      <t>数字货币：4050元</t>
    </r>
  </si>
  <si>
    <r>
      <rPr>
        <sz val="11"/>
        <color theme="1"/>
        <rFont val="Calibri"/>
        <family val="4"/>
        <charset val="134"/>
        <scheme val="minor"/>
      </rPr>
      <t>人民币：18900元</t>
    </r>
    <r>
      <rPr>
        <b/>
        <sz val="11"/>
        <color theme="1"/>
        <rFont val="Calibri"/>
        <family val="4"/>
        <charset val="134"/>
        <scheme val="minor"/>
      </rPr>
      <t>+</t>
    </r>
    <r>
      <rPr>
        <sz val="11"/>
        <color theme="1"/>
        <rFont val="Calibri"/>
        <family val="4"/>
        <charset val="134"/>
        <scheme val="minor"/>
      </rPr>
      <t>数字货币：8100元</t>
    </r>
  </si>
  <si>
    <t>管理层级</t>
  </si>
  <si>
    <t>职位名称</t>
  </si>
  <si>
    <r>
      <rPr>
        <b/>
        <sz val="11"/>
        <color rgb="FFFF0000"/>
        <rFont val="Calibri"/>
        <family val="4"/>
        <charset val="134"/>
        <scheme val="minor"/>
      </rPr>
      <t>上市前</t>
    </r>
    <r>
      <rPr>
        <sz val="11"/>
        <color theme="1"/>
        <rFont val="Calibri"/>
        <family val="4"/>
        <charset val="134"/>
        <scheme val="minor"/>
      </rPr>
      <t>数字货币占比</t>
    </r>
  </si>
  <si>
    <r>
      <rPr>
        <b/>
        <sz val="11"/>
        <color rgb="FFFF0000"/>
        <rFont val="Calibri"/>
        <family val="4"/>
        <charset val="134"/>
        <scheme val="minor"/>
      </rPr>
      <t>上市后</t>
    </r>
    <r>
      <rPr>
        <sz val="11"/>
        <color theme="1"/>
        <rFont val="Calibri"/>
        <family val="4"/>
        <charset val="134"/>
        <scheme val="minor"/>
      </rPr>
      <t>数字货币占比</t>
    </r>
  </si>
  <si>
    <t>专业层级</t>
  </si>
  <si>
    <t>商务层级</t>
  </si>
  <si>
    <t>吴杨</t>
  </si>
  <si>
    <t>高级产品策划</t>
  </si>
  <si>
    <r>
      <rPr>
        <sz val="11"/>
        <color theme="1"/>
        <rFont val="Calibri"/>
        <family val="4"/>
        <charset val="134"/>
        <scheme val="minor"/>
      </rPr>
      <t>人民币：17000元</t>
    </r>
    <r>
      <rPr>
        <b/>
        <sz val="11"/>
        <color theme="1"/>
        <rFont val="Calibri"/>
        <family val="4"/>
        <charset val="134"/>
        <scheme val="minor"/>
      </rPr>
      <t>+</t>
    </r>
    <r>
      <rPr>
        <sz val="11"/>
        <color theme="1"/>
        <rFont val="Calibri"/>
        <family val="4"/>
        <charset val="134"/>
        <scheme val="minor"/>
      </rPr>
      <t>数字货币：3000元</t>
    </r>
  </si>
  <si>
    <r>
      <rPr>
        <sz val="11"/>
        <color theme="1"/>
        <rFont val="Calibri"/>
        <family val="4"/>
        <charset val="134"/>
        <scheme val="minor"/>
      </rPr>
      <t>人民币：14000元</t>
    </r>
    <r>
      <rPr>
        <b/>
        <sz val="11"/>
        <color theme="1"/>
        <rFont val="Calibri"/>
        <family val="4"/>
        <charset val="134"/>
        <scheme val="minor"/>
      </rPr>
      <t>+</t>
    </r>
    <r>
      <rPr>
        <sz val="11"/>
        <color theme="1"/>
        <rFont val="Calibri"/>
        <family val="4"/>
        <charset val="134"/>
        <scheme val="minor"/>
      </rPr>
      <t>数字货币：6000元</t>
    </r>
  </si>
  <si>
    <t>决策者</t>
  </si>
  <si>
    <t>总裁（CXO）</t>
  </si>
  <si>
    <t>行业权威</t>
  </si>
  <si>
    <t>业务统筹者</t>
  </si>
  <si>
    <t>首席商务官</t>
  </si>
  <si>
    <t>刘加勇</t>
  </si>
  <si>
    <t>运维IT部</t>
  </si>
  <si>
    <t>资深运维工程师</t>
  </si>
  <si>
    <t>副总裁（CXO）</t>
  </si>
  <si>
    <t>公司级专家</t>
  </si>
  <si>
    <t>施文斌</t>
  </si>
  <si>
    <t>前端开发部</t>
  </si>
  <si>
    <t>高级研发工程师</t>
  </si>
  <si>
    <r>
      <rPr>
        <sz val="11"/>
        <color theme="1"/>
        <rFont val="Calibri"/>
        <family val="4"/>
        <charset val="134"/>
        <scheme val="minor"/>
      </rPr>
      <t>人民币：16150元</t>
    </r>
    <r>
      <rPr>
        <b/>
        <sz val="11"/>
        <color theme="1"/>
        <rFont val="Calibri"/>
        <family val="4"/>
        <charset val="134"/>
        <scheme val="minor"/>
      </rPr>
      <t>+</t>
    </r>
    <r>
      <rPr>
        <sz val="11"/>
        <color theme="1"/>
        <rFont val="Calibri"/>
        <family val="4"/>
        <charset val="134"/>
        <scheme val="minor"/>
      </rPr>
      <t>数字货币：2850元</t>
    </r>
  </si>
  <si>
    <r>
      <rPr>
        <sz val="11"/>
        <color theme="1"/>
        <rFont val="Calibri"/>
        <family val="4"/>
        <charset val="134"/>
        <scheme val="minor"/>
      </rPr>
      <t>人民币：13300元</t>
    </r>
    <r>
      <rPr>
        <b/>
        <sz val="11"/>
        <color theme="1"/>
        <rFont val="Calibri"/>
        <family val="4"/>
        <charset val="134"/>
        <scheme val="minor"/>
      </rPr>
      <t>+</t>
    </r>
    <r>
      <rPr>
        <sz val="11"/>
        <color theme="1"/>
        <rFont val="Calibri"/>
        <family val="4"/>
        <charset val="134"/>
        <scheme val="minor"/>
      </rPr>
      <t>数字货币：5700元</t>
    </r>
  </si>
  <si>
    <t>高级总监</t>
  </si>
  <si>
    <t>跨领域/品类专家</t>
  </si>
  <si>
    <t>丁铜伟</t>
  </si>
  <si>
    <t>后端开发部</t>
  </si>
  <si>
    <r>
      <rPr>
        <sz val="11"/>
        <color theme="1"/>
        <rFont val="Calibri"/>
        <family val="4"/>
        <charset val="134"/>
        <scheme val="minor"/>
      </rPr>
      <t>人民币：17850元</t>
    </r>
    <r>
      <rPr>
        <b/>
        <sz val="11"/>
        <color theme="1"/>
        <rFont val="Calibri"/>
        <family val="4"/>
        <charset val="134"/>
        <scheme val="minor"/>
      </rPr>
      <t>+</t>
    </r>
    <r>
      <rPr>
        <sz val="11"/>
        <color theme="1"/>
        <rFont val="Calibri"/>
        <family val="4"/>
        <charset val="134"/>
        <scheme val="minor"/>
      </rPr>
      <t>数字货币：3150元</t>
    </r>
  </si>
  <si>
    <r>
      <rPr>
        <sz val="11"/>
        <color theme="1"/>
        <rFont val="Calibri"/>
        <family val="4"/>
        <charset val="134"/>
        <scheme val="minor"/>
      </rPr>
      <t>人民币：14700元</t>
    </r>
    <r>
      <rPr>
        <b/>
        <sz val="11"/>
        <color theme="1"/>
        <rFont val="Calibri"/>
        <family val="4"/>
        <charset val="134"/>
        <scheme val="minor"/>
      </rPr>
      <t>+</t>
    </r>
    <r>
      <rPr>
        <sz val="11"/>
        <color theme="1"/>
        <rFont val="Calibri"/>
        <family val="4"/>
        <charset val="134"/>
        <scheme val="minor"/>
      </rPr>
      <t>数字货币：6300元</t>
    </r>
  </si>
  <si>
    <t>领域/项目专家</t>
  </si>
  <si>
    <t>区域业务统筹者</t>
  </si>
  <si>
    <t>戴良伟</t>
  </si>
  <si>
    <t>ios开发工程师</t>
  </si>
  <si>
    <r>
      <rPr>
        <sz val="11"/>
        <color theme="1"/>
        <rFont val="Calibri"/>
        <family val="4"/>
        <charset val="134"/>
        <scheme val="minor"/>
      </rPr>
      <t>人民币：20400元</t>
    </r>
    <r>
      <rPr>
        <b/>
        <sz val="11"/>
        <color theme="1"/>
        <rFont val="Calibri"/>
        <family val="4"/>
        <charset val="134"/>
        <scheme val="minor"/>
      </rPr>
      <t>+</t>
    </r>
    <r>
      <rPr>
        <sz val="11"/>
        <color theme="1"/>
        <rFont val="Calibri"/>
        <family val="4"/>
        <charset val="134"/>
        <scheme val="minor"/>
      </rPr>
      <t>数字货币：3600元</t>
    </r>
  </si>
  <si>
    <r>
      <rPr>
        <sz val="11"/>
        <color theme="1"/>
        <rFont val="Calibri"/>
        <family val="4"/>
        <charset val="134"/>
        <scheme val="minor"/>
      </rPr>
      <t>人民币：16800元</t>
    </r>
    <r>
      <rPr>
        <b/>
        <sz val="11"/>
        <color theme="1"/>
        <rFont val="Calibri"/>
        <family val="4"/>
        <charset val="134"/>
        <scheme val="minor"/>
      </rPr>
      <t>+</t>
    </r>
    <r>
      <rPr>
        <sz val="11"/>
        <color theme="1"/>
        <rFont val="Calibri"/>
        <family val="4"/>
        <charset val="134"/>
        <scheme val="minor"/>
      </rPr>
      <t>数字货币：7200元</t>
    </r>
  </si>
  <si>
    <t>高级管理者</t>
  </si>
  <si>
    <t>业务骨干</t>
  </si>
  <si>
    <t>杨晓雪</t>
  </si>
  <si>
    <t>UI设计部</t>
  </si>
  <si>
    <t>UI设计师</t>
  </si>
  <si>
    <r>
      <rPr>
        <sz val="11"/>
        <color theme="1"/>
        <rFont val="Calibri"/>
        <family val="4"/>
        <charset val="134"/>
        <scheme val="minor"/>
      </rPr>
      <t>人民币：15300元</t>
    </r>
    <r>
      <rPr>
        <b/>
        <sz val="11"/>
        <color theme="1"/>
        <rFont val="Calibri"/>
        <family val="4"/>
        <charset val="134"/>
        <scheme val="minor"/>
      </rPr>
      <t>+</t>
    </r>
    <r>
      <rPr>
        <sz val="11"/>
        <color theme="1"/>
        <rFont val="Calibri"/>
        <family val="4"/>
        <charset val="134"/>
        <scheme val="minor"/>
      </rPr>
      <t>数字货币：1700元</t>
    </r>
  </si>
  <si>
    <r>
      <rPr>
        <sz val="11"/>
        <color theme="1"/>
        <rFont val="Calibri"/>
        <family val="4"/>
        <charset val="134"/>
        <scheme val="minor"/>
      </rPr>
      <t>人民币：13600元</t>
    </r>
    <r>
      <rPr>
        <b/>
        <sz val="11"/>
        <color theme="1"/>
        <rFont val="Calibri"/>
        <family val="4"/>
        <charset val="134"/>
        <scheme val="minor"/>
      </rPr>
      <t>+</t>
    </r>
    <r>
      <rPr>
        <sz val="11"/>
        <color theme="1"/>
        <rFont val="Calibri"/>
        <family val="4"/>
        <charset val="134"/>
        <scheme val="minor"/>
      </rPr>
      <t>数字货币：3400元</t>
    </r>
  </si>
  <si>
    <t>中级管理者</t>
  </si>
  <si>
    <t>独立工作者</t>
  </si>
  <si>
    <t>肖美娟</t>
  </si>
  <si>
    <t>职能部</t>
  </si>
  <si>
    <t>兼职</t>
  </si>
  <si>
    <r>
      <rPr>
        <sz val="11"/>
        <color theme="1"/>
        <rFont val="Calibri"/>
        <family val="4"/>
        <charset val="134"/>
        <scheme val="minor"/>
      </rPr>
      <t>人民币：13500元</t>
    </r>
    <r>
      <rPr>
        <b/>
        <sz val="11"/>
        <color theme="1"/>
        <rFont val="Calibri"/>
        <family val="4"/>
        <charset val="134"/>
        <scheme val="minor"/>
      </rPr>
      <t>+</t>
    </r>
    <r>
      <rPr>
        <sz val="11"/>
        <color theme="1"/>
        <rFont val="Calibri"/>
        <family val="4"/>
        <charset val="134"/>
        <scheme val="minor"/>
      </rPr>
      <t>数字货币：1500元</t>
    </r>
  </si>
  <si>
    <r>
      <rPr>
        <sz val="11"/>
        <color theme="1"/>
        <rFont val="Calibri"/>
        <family val="4"/>
        <charset val="134"/>
        <scheme val="minor"/>
      </rPr>
      <t>人民币：12000元</t>
    </r>
    <r>
      <rPr>
        <b/>
        <sz val="11"/>
        <color theme="1"/>
        <rFont val="Calibri"/>
        <family val="4"/>
        <charset val="134"/>
        <scheme val="minor"/>
      </rPr>
      <t>+</t>
    </r>
    <r>
      <rPr>
        <sz val="11"/>
        <color theme="1"/>
        <rFont val="Calibri"/>
        <family val="4"/>
        <charset val="134"/>
        <scheme val="minor"/>
      </rPr>
      <t>数字货币：3000元</t>
    </r>
  </si>
  <si>
    <t>/</t>
  </si>
  <si>
    <t>初级管理者</t>
  </si>
  <si>
    <t>有经验者</t>
  </si>
  <si>
    <t>胡燕妮</t>
  </si>
  <si>
    <t>人事专员</t>
  </si>
  <si>
    <t>初学者</t>
  </si>
  <si>
    <t xml:space="preserve">助理 </t>
  </si>
  <si>
    <t>徐杭</t>
  </si>
  <si>
    <t>合计：</t>
  </si>
  <si>
    <t>人数</t>
  </si>
  <si>
    <t>预估月工资（元）</t>
  </si>
  <si>
    <t>奖金制度</t>
  </si>
  <si>
    <t>在招岗位</t>
  </si>
  <si>
    <t>Android开发工程师</t>
  </si>
  <si>
    <r>
      <rPr>
        <sz val="11"/>
        <color theme="1"/>
        <rFont val="Calibri"/>
        <family val="4"/>
        <charset val="134"/>
        <scheme val="minor"/>
      </rPr>
      <t>人民币：21250元</t>
    </r>
    <r>
      <rPr>
        <b/>
        <sz val="11"/>
        <color theme="1"/>
        <rFont val="Calibri"/>
        <family val="4"/>
        <charset val="134"/>
        <scheme val="minor"/>
      </rPr>
      <t>+</t>
    </r>
    <r>
      <rPr>
        <sz val="11"/>
        <color theme="1"/>
        <rFont val="Calibri"/>
        <family val="4"/>
        <charset val="134"/>
        <scheme val="minor"/>
      </rPr>
      <t>数字货币：3750元</t>
    </r>
  </si>
  <si>
    <r>
      <rPr>
        <sz val="11"/>
        <color theme="1"/>
        <rFont val="Calibri"/>
        <family val="4"/>
        <charset val="134"/>
        <scheme val="minor"/>
      </rPr>
      <t>人民币：17500元</t>
    </r>
    <r>
      <rPr>
        <b/>
        <sz val="11"/>
        <color theme="1"/>
        <rFont val="Calibri"/>
        <family val="4"/>
        <charset val="134"/>
        <scheme val="minor"/>
      </rPr>
      <t>+</t>
    </r>
    <r>
      <rPr>
        <sz val="11"/>
        <color theme="1"/>
        <rFont val="Calibri"/>
        <family val="4"/>
        <charset val="134"/>
        <scheme val="minor"/>
      </rPr>
      <t>数字货币：7500元</t>
    </r>
  </si>
  <si>
    <t>奖金类别</t>
  </si>
  <si>
    <t>所属部门</t>
  </si>
  <si>
    <t>发放比例</t>
  </si>
  <si>
    <t>发放节点</t>
  </si>
  <si>
    <t>备注</t>
  </si>
  <si>
    <t>节点奖</t>
  </si>
  <si>
    <t>技术开发部</t>
  </si>
  <si>
    <t>APP demo提前完成</t>
  </si>
  <si>
    <t>1、需设立一定金额的节点奖金池用于节点奖发放
2、需对入驻名人进行分级，级别越高，奖金越多（暂时按照“星级”划分）</t>
  </si>
  <si>
    <t>Java开发工程师</t>
  </si>
  <si>
    <r>
      <rPr>
        <sz val="11"/>
        <color theme="1"/>
        <rFont val="Calibri"/>
        <family val="4"/>
        <charset val="134"/>
        <scheme val="minor"/>
      </rPr>
      <t>人民币：23800元</t>
    </r>
    <r>
      <rPr>
        <b/>
        <sz val="11"/>
        <color theme="1"/>
        <rFont val="Calibri"/>
        <family val="4"/>
        <charset val="134"/>
        <scheme val="minor"/>
      </rPr>
      <t>+</t>
    </r>
    <r>
      <rPr>
        <sz val="11"/>
        <color theme="1"/>
        <rFont val="Calibri"/>
        <family val="4"/>
        <charset val="134"/>
        <scheme val="minor"/>
      </rPr>
      <t>数字货币：4200元</t>
    </r>
  </si>
  <si>
    <r>
      <rPr>
        <sz val="11"/>
        <color theme="1"/>
        <rFont val="Calibri"/>
        <family val="4"/>
        <charset val="134"/>
        <scheme val="minor"/>
      </rPr>
      <t>人民币：19600元</t>
    </r>
    <r>
      <rPr>
        <b/>
        <sz val="11"/>
        <color theme="1"/>
        <rFont val="Calibri"/>
        <family val="4"/>
        <charset val="134"/>
        <scheme val="minor"/>
      </rPr>
      <t>+</t>
    </r>
    <r>
      <rPr>
        <sz val="11"/>
        <color theme="1"/>
        <rFont val="Calibri"/>
        <family val="4"/>
        <charset val="134"/>
        <scheme val="minor"/>
      </rPr>
      <t>数字货币：8400元</t>
    </r>
  </si>
  <si>
    <t>APP beta提前完成</t>
  </si>
  <si>
    <t>APP online提前完成</t>
  </si>
  <si>
    <r>
      <rPr>
        <sz val="11"/>
        <color theme="1"/>
        <rFont val="Calibri"/>
        <family val="4"/>
        <charset val="134"/>
        <scheme val="minor"/>
      </rPr>
      <t>人民币：18000元</t>
    </r>
    <r>
      <rPr>
        <b/>
        <sz val="11"/>
        <color theme="1"/>
        <rFont val="Calibri"/>
        <family val="4"/>
        <charset val="134"/>
        <scheme val="minor"/>
      </rPr>
      <t>+</t>
    </r>
    <r>
      <rPr>
        <sz val="11"/>
        <color theme="1"/>
        <rFont val="Calibri"/>
        <family val="4"/>
        <charset val="134"/>
        <scheme val="minor"/>
      </rPr>
      <t>数字货币：2000元</t>
    </r>
  </si>
  <si>
    <r>
      <rPr>
        <sz val="11"/>
        <color theme="1"/>
        <rFont val="Calibri"/>
        <family val="4"/>
        <charset val="134"/>
        <scheme val="minor"/>
      </rPr>
      <t>人民币：16000元</t>
    </r>
    <r>
      <rPr>
        <b/>
        <sz val="11"/>
        <color theme="1"/>
        <rFont val="Calibri"/>
        <family val="4"/>
        <charset val="134"/>
        <scheme val="minor"/>
      </rPr>
      <t>+</t>
    </r>
    <r>
      <rPr>
        <sz val="11"/>
        <color theme="1"/>
        <rFont val="Calibri"/>
        <family val="4"/>
        <charset val="134"/>
        <scheme val="minor"/>
      </rPr>
      <t>数字货币：4000元</t>
    </r>
  </si>
  <si>
    <t>正式上线，达成预期</t>
  </si>
  <si>
    <t>商务部</t>
  </si>
  <si>
    <t>商务合作经理</t>
  </si>
  <si>
    <r>
      <rPr>
        <sz val="11"/>
        <color theme="1"/>
        <rFont val="Calibri"/>
        <family val="4"/>
        <charset val="134"/>
        <scheme val="minor"/>
      </rPr>
      <t>人民币：38250元</t>
    </r>
    <r>
      <rPr>
        <b/>
        <sz val="11"/>
        <color theme="1"/>
        <rFont val="Calibri"/>
        <family val="4"/>
        <charset val="134"/>
        <scheme val="minor"/>
      </rPr>
      <t>+</t>
    </r>
    <r>
      <rPr>
        <sz val="11"/>
        <color theme="1"/>
        <rFont val="Calibri"/>
        <family val="4"/>
        <charset val="134"/>
        <scheme val="minor"/>
      </rPr>
      <t>数字货币：6750元</t>
    </r>
  </si>
  <si>
    <r>
      <rPr>
        <sz val="11"/>
        <color theme="1"/>
        <rFont val="Calibri"/>
        <family val="4"/>
        <charset val="134"/>
        <scheme val="minor"/>
      </rPr>
      <t>人民币：31500元</t>
    </r>
    <r>
      <rPr>
        <b/>
        <sz val="11"/>
        <color theme="1"/>
        <rFont val="Calibri"/>
        <family val="4"/>
        <charset val="134"/>
        <scheme val="minor"/>
      </rPr>
      <t>+</t>
    </r>
    <r>
      <rPr>
        <sz val="11"/>
        <color theme="1"/>
        <rFont val="Calibri"/>
        <family val="4"/>
        <charset val="134"/>
        <scheme val="minor"/>
      </rPr>
      <t>数字货币：13500元</t>
    </r>
  </si>
  <si>
    <t>每成功签约入驻一位一星名人入驻</t>
  </si>
  <si>
    <t>线上商务运营</t>
  </si>
  <si>
    <t>每成功签约入驻一位二星名人入驻</t>
  </si>
  <si>
    <t>新媒体运营</t>
  </si>
  <si>
    <t>每成功签约入驻一位三星名人入驻</t>
  </si>
  <si>
    <t>预备入职人员</t>
  </si>
  <si>
    <t>集团办公室</t>
  </si>
  <si>
    <t>吴浩</t>
  </si>
  <si>
    <t>CEO</t>
  </si>
  <si>
    <r>
      <rPr>
        <sz val="11"/>
        <color theme="1"/>
        <rFont val="Calibri"/>
        <family val="4"/>
        <charset val="134"/>
        <scheme val="minor"/>
      </rPr>
      <t>人民币：75000元</t>
    </r>
    <r>
      <rPr>
        <b/>
        <sz val="11"/>
        <color theme="1"/>
        <rFont val="Calibri"/>
        <family val="4"/>
        <charset val="134"/>
        <scheme val="minor"/>
      </rPr>
      <t>+</t>
    </r>
    <r>
      <rPr>
        <sz val="11"/>
        <color theme="1"/>
        <rFont val="Calibri"/>
        <family val="4"/>
        <charset val="134"/>
        <scheme val="minor"/>
      </rPr>
      <t>数字货币：25000元</t>
    </r>
  </si>
  <si>
    <r>
      <rPr>
        <sz val="11"/>
        <color theme="1"/>
        <rFont val="Calibri"/>
        <family val="4"/>
        <charset val="134"/>
        <scheme val="minor"/>
      </rPr>
      <t>人民币：50000元</t>
    </r>
    <r>
      <rPr>
        <b/>
        <sz val="11"/>
        <color theme="1"/>
        <rFont val="Calibri"/>
        <family val="4"/>
        <charset val="134"/>
        <scheme val="minor"/>
      </rPr>
      <t>+</t>
    </r>
    <r>
      <rPr>
        <sz val="11"/>
        <color theme="1"/>
        <rFont val="Calibri"/>
        <family val="4"/>
        <charset val="134"/>
        <scheme val="minor"/>
      </rPr>
      <t>数字货币：50000元</t>
    </r>
  </si>
  <si>
    <t>项目奖</t>
  </si>
  <si>
    <t>融资部</t>
  </si>
  <si>
    <t>融资金额*2%</t>
  </si>
  <si>
    <t>融资签约并资金到账后</t>
  </si>
  <si>
    <t>王鹏飞</t>
  </si>
  <si>
    <t>COO</t>
  </si>
  <si>
    <t>赵雪廷</t>
  </si>
  <si>
    <t>CFO</t>
  </si>
  <si>
    <t>Jarby</t>
  </si>
  <si>
    <t>CBO</t>
  </si>
  <si>
    <r>
      <rPr>
        <sz val="11"/>
        <color theme="1"/>
        <rFont val="Calibri"/>
        <family val="4"/>
        <charset val="134"/>
        <scheme val="minor"/>
      </rPr>
      <t>人民币：60000元</t>
    </r>
    <r>
      <rPr>
        <b/>
        <sz val="11"/>
        <color theme="1"/>
        <rFont val="Calibri"/>
        <family val="4"/>
        <charset val="134"/>
        <scheme val="minor"/>
      </rPr>
      <t>+</t>
    </r>
    <r>
      <rPr>
        <sz val="11"/>
        <color theme="1"/>
        <rFont val="Calibri"/>
        <family val="4"/>
        <charset val="134"/>
        <scheme val="minor"/>
      </rPr>
      <t>数字货币：20000元</t>
    </r>
  </si>
  <si>
    <r>
      <rPr>
        <sz val="11"/>
        <color theme="1"/>
        <rFont val="Calibri"/>
        <family val="4"/>
        <charset val="134"/>
        <scheme val="minor"/>
      </rPr>
      <t>人民币：40000元</t>
    </r>
    <r>
      <rPr>
        <b/>
        <sz val="11"/>
        <color theme="1"/>
        <rFont val="Calibri"/>
        <family val="4"/>
        <charset val="134"/>
        <scheme val="minor"/>
      </rPr>
      <t>+</t>
    </r>
    <r>
      <rPr>
        <sz val="11"/>
        <color theme="1"/>
        <rFont val="Calibri"/>
        <family val="4"/>
        <charset val="134"/>
        <scheme val="minor"/>
      </rPr>
      <t>数字货币：40000元</t>
    </r>
  </si>
  <si>
    <t>总计：</t>
  </si>
  <si>
    <t>（该预算不包含企业支出的社保、公积金成本）</t>
  </si>
  <si>
    <t>（该预算包含企业支出的社保、公积金成本）</t>
  </si>
  <si>
    <t>小红书-职级对应薪酬表</t>
  </si>
  <si>
    <t>京东-职级对应薪酬表</t>
  </si>
  <si>
    <t>职级序列</t>
  </si>
  <si>
    <t>岗位类型</t>
  </si>
  <si>
    <t>年薪范围 (万元)</t>
  </si>
  <si>
    <t>主要职责</t>
  </si>
  <si>
    <t>经验要求</t>
  </si>
  <si>
    <t>管理权限</t>
  </si>
  <si>
    <t>年终奖</t>
  </si>
  <si>
    <t>股票期权（万 / 年）</t>
  </si>
  <si>
    <t>L1</t>
  </si>
  <si>
    <t>40 - 60</t>
  </si>
  <si>
    <t>团队日常管理，任务分配，绩效考核</t>
  </si>
  <si>
    <t>3 - 5 年管理经验</t>
  </si>
  <si>
    <t>M4-1</t>
  </si>
  <si>
    <t>（副总监）</t>
  </si>
  <si>
    <t>约 200-270 万</t>
  </si>
  <si>
    <t>管理 100-300 人规模团队，负责业务线整体运营</t>
  </si>
  <si>
    <t>业务线内管理决策权，跨部门协作协调权</t>
  </si>
  <si>
    <t>6 个月</t>
  </si>
  <si>
    <t>80-120</t>
  </si>
  <si>
    <t>L2</t>
  </si>
  <si>
    <t>60 - 100</t>
  </si>
  <si>
    <t>部门战略规划，团队建设，跨部门协作</t>
  </si>
  <si>
    <t>5 - 8 年管理经验</t>
  </si>
  <si>
    <t>M4-2</t>
  </si>
  <si>
    <t>（总监）</t>
  </si>
  <si>
    <t>约 300-400 万</t>
  </si>
  <si>
    <t>管理 300-500 人规模团队，如京东物流快递快运产品群负责人</t>
  </si>
  <si>
    <t>业务线内战略决策权，跨部门资源调配权</t>
  </si>
  <si>
    <t>7 个月</t>
  </si>
  <si>
    <t>150-200</t>
  </si>
  <si>
    <t>L3</t>
  </si>
  <si>
    <t>100 - 200</t>
  </si>
  <si>
    <t>业务线管理，资源调配，战略执行</t>
  </si>
  <si>
    <t>8 - 10 年管理经验</t>
  </si>
  <si>
    <t>M4-3</t>
  </si>
  <si>
    <t>约 500-650 万</t>
  </si>
  <si>
    <t>管理 500-1000 人规模团队，如京东物流 CEO 胡伟晋升后对应职级</t>
  </si>
  <si>
    <t>集团级业务决策权，管理多个业务部门</t>
  </si>
  <si>
    <t>8 个月</t>
  </si>
  <si>
    <t>300-400</t>
  </si>
  <si>
    <t>L4</t>
  </si>
  <si>
    <t>高管 / 副总裁</t>
  </si>
  <si>
    <t>200 - 300</t>
  </si>
  <si>
    <t>公司核心业务管理，战略制定与执行</t>
  </si>
  <si>
    <t>10 年以上管理经验</t>
  </si>
  <si>
    <t>M4-4</t>
  </si>
  <si>
    <t>集团副总裁 / CEO</t>
  </si>
  <si>
    <t>约 5000 万级别</t>
  </si>
  <si>
    <t>制定集团战略方向，管理集团核心业务板块</t>
  </si>
  <si>
    <t>集团全局管理权，董事会决策参与权</t>
  </si>
  <si>
    <t>12 个月</t>
  </si>
  <si>
    <t>3000-5000</t>
  </si>
  <si>
    <t>职能序列</t>
  </si>
  <si>
    <t>P1 - P2</t>
  </si>
  <si>
    <t>专员</t>
  </si>
  <si>
    <t>20 - 40</t>
  </si>
  <si>
    <t>职能支持工作，流程执行，数据分析</t>
  </si>
  <si>
    <t>1 - 3 年经验</t>
  </si>
  <si>
    <t>核心职责</t>
  </si>
  <si>
    <t>年薪构成</t>
  </si>
  <si>
    <t>年终奖（月薪倍数）</t>
  </si>
  <si>
    <t>股票期权（年价值）</t>
  </si>
  <si>
    <t>P3 - P4</t>
  </si>
  <si>
    <t>40 - 80</t>
  </si>
  <si>
    <t>职能管理，团队建设，跨部门协作</t>
  </si>
  <si>
    <t>3 - 5 年经验</t>
  </si>
  <si>
    <t>技术岗</t>
  </si>
  <si>
    <t>（助理工程师）、产品岗（产品经理助理）、运营岗（助理运营专员）</t>
  </si>
  <si>
    <t>24-31</t>
  </si>
  <si>
    <t>执行基础开发任务，参与需求分析，协助团队完成项目模块</t>
  </si>
  <si>
    <t>基本工资（12× 月薪）+ 年终奖（1× 月薪）</t>
  </si>
  <si>
    <t>1 个月</t>
  </si>
  <si>
    <t>P5 - P6</t>
  </si>
  <si>
    <t>80 - 150</t>
  </si>
  <si>
    <t>职能体系管理，战略规划，资源调配</t>
  </si>
  <si>
    <t>5 - 8 年经验</t>
  </si>
  <si>
    <t>（中级工程师）、产品岗（产品工程师）、运营岗（运营专员）</t>
  </si>
  <si>
    <t>32-42</t>
  </si>
  <si>
    <t>独立完成模块开发，参与产品设计，具备一定专业技能</t>
  </si>
  <si>
    <t>基本工资（12× 月薪）+ 年终奖（1.5× 月薪）</t>
  </si>
  <si>
    <t>1.5 个月</t>
  </si>
  <si>
    <t>（高级工程师）、产品岗（产品经理）、运营岗（高级运营专员）</t>
  </si>
  <si>
    <t>41-51</t>
  </si>
  <si>
    <t>主导模块开发或产品设计，具备跨部门协作能力</t>
  </si>
  <si>
    <t>基本工资（12× 月薪）+ 年终奖（2× 月薪）</t>
  </si>
  <si>
    <t>2 个月</t>
  </si>
  <si>
    <t>（资深工程师）、产品岗（高级产品经理）、运营岗（运营主管）</t>
  </si>
  <si>
    <t>52-66</t>
  </si>
  <si>
    <t>主导中小型项目，对项目整体进度和质量负责</t>
  </si>
  <si>
    <t>基本工资（12× 月薪）+ 年终奖（2.5× 月薪）</t>
  </si>
  <si>
    <t>2.5 个月</t>
  </si>
  <si>
    <t>技术序列</t>
  </si>
  <si>
    <t>R1</t>
  </si>
  <si>
    <t>初级工程师 / 实习生</t>
  </si>
  <si>
    <t>20-30</t>
  </si>
  <si>
    <t>协助完成基础研发工作，学习公司技术体系</t>
  </si>
  <si>
    <t>0-1 年经验</t>
  </si>
  <si>
    <t>（高级工程师）、产品岗（资深产品经理）、运营岗（运营经理）</t>
  </si>
  <si>
    <t>63-77</t>
  </si>
  <si>
    <t>主导中型项目，推动技术成果在公司内部推广应用</t>
  </si>
  <si>
    <t>基本工资（12× 月薪）+ 年终奖（3× 月薪）</t>
  </si>
  <si>
    <t>3 个月</t>
  </si>
  <si>
    <t>R2</t>
  </si>
  <si>
    <t>初级工程师</t>
  </si>
  <si>
    <t>30-40</t>
  </si>
  <si>
    <t>独立完成模块开发，参与项目设计与实施</t>
  </si>
  <si>
    <t>1-2 年经验</t>
  </si>
  <si>
    <t>（高级工程师）、产品岗（产品线负责人）、运营岗（高级运营经理）</t>
  </si>
  <si>
    <t>73-90</t>
  </si>
  <si>
    <t>管理 10-30 人团队，制定技术方案或产品路线</t>
  </si>
  <si>
    <t>基本工资（12× 月薪）+ 年终奖（3.5× 月薪）</t>
  </si>
  <si>
    <t>3.5 个月</t>
  </si>
  <si>
    <t>R3</t>
  </si>
  <si>
    <t>40-50</t>
  </si>
  <si>
    <t>系统方案设计与优化，指导初级工程师</t>
  </si>
  <si>
    <t>2-3 年经验</t>
  </si>
  <si>
    <t>（高级架构师）、产品岗（产品负责人）、项目管理岗（高级项目经理）</t>
  </si>
  <si>
    <t>80-130</t>
  </si>
  <si>
    <t>负责技术方案设计与跨团队协作，主导大型项目开发</t>
  </si>
  <si>
    <t>基本工资 + 年终奖 + 股票期权</t>
  </si>
  <si>
    <t>4 个月</t>
  </si>
  <si>
    <t>10-20 万</t>
  </si>
  <si>
    <t>R4</t>
  </si>
  <si>
    <t>中级工程师</t>
  </si>
  <si>
    <t>50-60</t>
  </si>
  <si>
    <t>独立负责关键技术模块，参与项目评审与决策</t>
  </si>
  <si>
    <t>3-5 年经验</t>
  </si>
  <si>
    <t>（技术专家）、产品岗（产品线总监）、项目管理岗（项目经理总监）</t>
  </si>
  <si>
    <t>负责技术战略规划与跨部门协调，管理多个项目团队</t>
  </si>
  <si>
    <t>4.5 个月</t>
  </si>
  <si>
    <t>20-40 万</t>
  </si>
  <si>
    <t>R5</t>
  </si>
  <si>
    <t>高级工程师 / 骨干员工</t>
  </si>
  <si>
    <t>60-80</t>
  </si>
  <si>
    <t>负责系统方案设计与优化，指导初级工程师</t>
  </si>
  <si>
    <t>5-8 年经验</t>
  </si>
  <si>
    <t>（技术总监）、产品岗（产品线负责人）、管理岗（部门负责人）</t>
  </si>
  <si>
    <t>140-220</t>
  </si>
  <si>
    <t>管理 100-200 人规模团队（如 AI 算法团队、物流系统开发团队等）</t>
  </si>
  <si>
    <t>5 个月</t>
  </si>
  <si>
    <t>50-100 万</t>
  </si>
  <si>
    <t>R6</t>
  </si>
  <si>
    <t>高级工程师 / 小组长</t>
  </si>
  <si>
    <t>管理小团队，主导项目开发与集成，负责技术方案评审</t>
  </si>
  <si>
    <t>8-10 年经验</t>
  </si>
  <si>
    <t>P10</t>
  </si>
  <si>
    <t>（技术总监）、产品岗（业务线产品负责人）、管理岗（业务线技术负责人）</t>
  </si>
  <si>
    <t>140-227</t>
  </si>
  <si>
    <t>负责核心业务技术领导和战略决策（如京东 AI、物流等核心业务的技术总负责人）</t>
  </si>
  <si>
    <t>5.5 个月</t>
  </si>
  <si>
    <t>100-200 万</t>
  </si>
  <si>
    <t>R7</t>
  </si>
  <si>
    <t>技术经理 / 部门负责人</t>
  </si>
  <si>
    <t>制定部门技术战略，协调跨团队资源，负责技术团队建设</t>
  </si>
  <si>
    <t>10-15 年经验</t>
  </si>
  <si>
    <t>R8</t>
  </si>
  <si>
    <t>技术总监 / 高管</t>
  </si>
  <si>
    <t>400-800+</t>
  </si>
  <si>
    <t>制定公司级技术方向，管理技术团队，参与公司战略决策</t>
  </si>
  <si>
    <t>15 年以上经验</t>
  </si>
  <si>
    <t>薪酬结构：</t>
  </si>
  <si>
    <t>基础年薪+年终奖+股票激励（平均14-16薪）</t>
  </si>
  <si>
    <t>基础年薪+年终奖+股票激励（平均16-20薪）</t>
  </si>
  <si>
    <t>福利待遇：</t>
  </si>
  <si>
    <t>三餐:</t>
  </si>
  <si>
    <t>餐补食堂包三餐，每周五晚预订下一周餐品，自由选择，种类丰富。</t>
  </si>
  <si>
    <t>保险福利：</t>
  </si>
  <si>
    <t>为员工缴纳六险一金，在五险一金基础上额外增加商业保险，为员工提供更全面的保障。</t>
  </si>
  <si>
    <t>下午茶：</t>
  </si>
  <si>
    <t>零食免费，周四发水果拼盘。有免费咖啡，还有饮料柜，平时有各种美食节。</t>
  </si>
  <si>
    <t>住房福利：</t>
  </si>
  <si>
    <t>设有 100 亿 “住房保障基金”，帮助员工缓解购买首套房的压力。同时，京东在全国有超 2.5 万套员工公寓，如 “京东青年城” 计划建起近 4000 套家电、家具齐全，可拎包入住的员工公寓，为员工提供免费或低价住房。</t>
  </si>
  <si>
    <t>房补:</t>
  </si>
  <si>
    <t>距公司1.5公里内，住房补贴1k。</t>
  </si>
  <si>
    <t>健康福利：</t>
  </si>
  <si>
    <t>为全体员工提供免费年度体检，帮助员工及时了解身体状况。设有 “员工救助基金”，已累计投入超 1.1 亿元，用于缓解员工突遭意外或疾病时的经济压力。</t>
  </si>
  <si>
    <t>周末加班:</t>
  </si>
  <si>
    <t>大小周双倍加班工资。</t>
  </si>
  <si>
    <t>假期福利：</t>
  </si>
  <si>
    <t>员工可享受调休、年假、婚假、产假、陪产假、带薪病假、丧假、哺乳假等多种带薪假期，满足员工在不同人生阶段的需求。</t>
  </si>
  <si>
    <t>打车报销:</t>
  </si>
  <si>
    <t>加班10点打车可报。</t>
  </si>
  <si>
    <t>餐饮福利：</t>
  </si>
  <si>
    <t>每月提供餐补，如部分岗位餐补 500 元 / 月。此外，还可能每天为员工发放牛奶、水果等餐后零食。</t>
  </si>
  <si>
    <t>调薪/晋升:</t>
  </si>
  <si>
    <t>调薪跟绩效和晋升挂钩，每年4月份调薪;每年6月/12月份共两次晋升机会。</t>
  </si>
  <si>
    <t>其他福利：</t>
  </si>
  <si>
    <t>发放京东四季工作服。员工入职后每位员工享有 600 元 / 季度的东券，可在京东购物。公司与市区多家餐饮、健身房、体育馆等机构合作，员工凭京东工牌可享受大额度优惠。春节等节日会发放节日礼包，春节在岗员工还可获得国家法定加班补贴、现金红包以及子女团聚补贴等。</t>
  </si>
  <si>
    <t>年假及其他福利:</t>
  </si>
  <si>
    <t>10天年假，其中5天法定，5天褔利，还有额外5天病假;</t>
  </si>
  <si>
    <t>社保:</t>
  </si>
  <si>
    <t>六险一金，公积金7%</t>
  </si>
  <si>
    <t>节日礼金;</t>
  </si>
  <si>
    <t>各种生活方式社团;有公司合作的健身房，免费体检;周五pet day，可带小猫小狗上班;还有各种outing团建。</t>
  </si>
  <si>
    <t xml:space="preserve"> 员工折扣：所有员工可享受公司产品的内部折扣，如7折购买工程机型手机。 </t>
  </si>
  <si>
    <t xml:space="preserve"> 免费健身房：各大办公室配备标准化的健身房，提供健身课程和活动。 </t>
  </si>
  <si>
    <t xml:space="preserve"> 健康关怀：每年一次定制化体检，定期邀请权威医生举办健康讲座，提供医务室和第三方就医绿色通道。 </t>
  </si>
  <si>
    <t xml:space="preserve"> 带薪追星日：每周五是”宠物日”，员工可带宠物上班；每年8月2日是”小红书日”，员工可带薪享受生活。 </t>
  </si>
  <si>
    <t>年会三亚游：公司定期组织员工前往三亚等地参加年会，提供免费旅行机会。</t>
  </si>
  <si>
    <t>CXO</t>
  </si>
  <si>
    <t>点时成金集团-职级对应薪酬表</t>
  </si>
  <si>
    <t>点时成金集团-职级标准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</si>
</sst>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_ * #,##0.00_ ;_ * \-#,##0.00_ ;_ * &quot;-&quot;??_ ;_ @_ "/>
  </numFmts>
  <fonts count="19">
    <font>
      <sz val="11"/>
      <color theme="1"/>
      <name val="Calibri"/>
      <charset val="134"/>
      <scheme val="minor"/>
    </font>
    <font>
      <sz val="20"/>
      <color theme="1"/>
      <name val="Calibri"/>
      <family val="4"/>
      <charset val="134"/>
      <scheme val="minor"/>
    </font>
    <font>
      <b/>
      <sz val="11"/>
      <color theme="0"/>
      <name val="Calibri"/>
      <family val="4"/>
      <charset val="134"/>
      <scheme val="minor"/>
    </font>
    <font>
      <sz val="18"/>
      <name val="Arial"/>
      <family val="2"/>
    </font>
    <font>
      <b/>
      <sz val="16"/>
      <color theme="1"/>
      <name val="Calibri"/>
      <family val="4"/>
      <charset val="134"/>
      <scheme val="minor"/>
    </font>
    <font>
      <b/>
      <sz val="11"/>
      <color theme="1"/>
      <name val="Calibri"/>
      <family val="4"/>
      <charset val="134"/>
      <scheme val="minor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rgb="FFFF0000"/>
      <name val="Calibri"/>
      <family val="4"/>
      <charset val="134"/>
      <scheme val="minor"/>
    </font>
    <font>
      <sz val="11"/>
      <color rgb="FFFF0000"/>
      <name val="Calibri"/>
      <family val="4"/>
      <charset val="134"/>
      <scheme val="minor"/>
    </font>
    <font>
      <b/>
      <sz val="14"/>
      <color theme="1"/>
      <name val="Calibri"/>
      <family val="4"/>
      <charset val="134"/>
      <scheme val="minor"/>
    </font>
    <font>
      <b/>
      <sz val="20"/>
      <color theme="5"/>
      <name val="Calibri"/>
      <family val="4"/>
      <charset val="134"/>
      <scheme val="minor"/>
    </font>
    <font>
      <b/>
      <sz val="11"/>
      <color rgb="FF000000"/>
      <name val="Calibri"/>
      <family val="4"/>
      <charset val="134"/>
      <scheme val="minor"/>
    </font>
    <font>
      <sz val="11"/>
      <color rgb="FF000000"/>
      <name val="Calibri"/>
      <family val="4"/>
      <charset val="134"/>
      <scheme val="minor"/>
    </font>
    <font>
      <b/>
      <sz val="14"/>
      <color theme="0"/>
      <name val="Calibri"/>
      <family val="4"/>
      <charset val="134"/>
      <scheme val="minor"/>
    </font>
    <font>
      <sz val="11"/>
      <color theme="1"/>
      <name val="Calibri"/>
      <family val="4"/>
      <charset val="134"/>
      <scheme val="minor"/>
    </font>
    <font>
      <sz val="10"/>
      <name val="Arial"/>
      <family val="2"/>
    </font>
    <font>
      <sz val="12"/>
      <name val="宋体"/>
      <charset val="134"/>
    </font>
    <font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theme="7" tint="0.79995117038483843"/>
        <bgColor theme="7" tint="0.79995117038483843"/>
      </patternFill>
    </fill>
    <fill>
      <patternFill patternType="solid">
        <fgColor theme="4" tint="0.79995117038483843"/>
        <bgColor theme="4" tint="0.79995117038483843"/>
      </patternFill>
    </fill>
    <fill>
      <patternFill patternType="solid">
        <fgColor theme="9" tint="0.79995117038483843"/>
        <bgColor theme="9" tint="0.79995117038483843"/>
      </patternFill>
    </fill>
    <fill>
      <patternFill patternType="solid">
        <fgColor theme="8" tint="0.59999389629810485"/>
        <bgColor theme="7"/>
      </patternFill>
    </fill>
    <fill>
      <patternFill patternType="solid">
        <fgColor theme="7" tint="0.59999389629810485"/>
        <bgColor theme="4"/>
      </patternFill>
    </fill>
    <fill>
      <patternFill patternType="solid">
        <fgColor theme="8"/>
        <bgColor theme="8"/>
      </patternFill>
    </fill>
    <fill>
      <patternFill patternType="solid">
        <fgColor theme="7" tint="0.59999389629810485"/>
        <bgColor theme="4" tint="0.79995117038483843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9" tint="0.59999389629810485"/>
        <bgColor theme="9" tint="0.59999389629810485"/>
      </patternFill>
    </fill>
  </fills>
  <borders count="6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4"/>
      </right>
      <top style="thin">
        <color auto="1"/>
      </top>
      <bottom style="thin">
        <color auto="1"/>
      </bottom>
      <diagonal/>
    </border>
    <border>
      <left style="thin">
        <color theme="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theme="9"/>
      </right>
      <top style="thin">
        <color auto="1"/>
      </top>
      <bottom style="thin">
        <color auto="1"/>
      </bottom>
      <diagonal/>
    </border>
    <border>
      <left style="thin">
        <color theme="9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theme="7"/>
      </left>
      <right/>
      <top/>
      <bottom/>
      <diagonal/>
    </border>
    <border>
      <left style="thin">
        <color theme="7"/>
      </left>
      <right/>
      <top style="thin">
        <color theme="7"/>
      </top>
      <bottom style="thin">
        <color theme="7" tint="0.39994506668294322"/>
      </bottom>
      <diagonal/>
    </border>
    <border>
      <left/>
      <right/>
      <top style="thin">
        <color theme="7"/>
      </top>
      <bottom style="thin">
        <color theme="7" tint="0.39994506668294322"/>
      </bottom>
      <diagonal/>
    </border>
    <border>
      <left/>
      <right style="thin">
        <color theme="7"/>
      </right>
      <top style="thin">
        <color theme="7"/>
      </top>
      <bottom style="thin">
        <color theme="7" tint="0.39994506668294322"/>
      </bottom>
      <diagonal/>
    </border>
    <border>
      <left style="thin">
        <color theme="7"/>
      </left>
      <right/>
      <top style="thin">
        <color theme="7" tint="0.39994506668294322"/>
      </top>
      <bottom style="thin">
        <color theme="7" tint="0.39994506668294322"/>
      </bottom>
      <diagonal/>
    </border>
    <border>
      <left/>
      <right/>
      <top style="thin">
        <color theme="7" tint="0.39994506668294322"/>
      </top>
      <bottom style="thin">
        <color theme="7" tint="0.39994506668294322"/>
      </bottom>
      <diagonal/>
    </border>
    <border>
      <left/>
      <right style="thin">
        <color theme="7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/>
      </left>
      <right/>
      <top style="thin">
        <color theme="7" tint="0.39994506668294322"/>
      </top>
      <bottom style="thin">
        <color theme="7"/>
      </bottom>
      <diagonal/>
    </border>
    <border>
      <left/>
      <right/>
      <top style="thin">
        <color theme="7" tint="0.39994506668294322"/>
      </top>
      <bottom style="thin">
        <color theme="7"/>
      </bottom>
      <diagonal/>
    </border>
    <border>
      <left/>
      <right style="thin">
        <color theme="7"/>
      </right>
      <top style="thin">
        <color theme="7" tint="0.39994506668294322"/>
      </top>
      <bottom style="thin">
        <color theme="7"/>
      </bottom>
      <diagonal/>
    </border>
    <border>
      <left style="thin">
        <color theme="9"/>
      </left>
      <right/>
      <top style="thin">
        <color theme="9"/>
      </top>
      <bottom style="thin">
        <color theme="9" tint="0.39994506668294322"/>
      </bottom>
      <diagonal/>
    </border>
    <border>
      <left/>
      <right/>
      <top style="thin">
        <color theme="9"/>
      </top>
      <bottom style="thin">
        <color theme="9" tint="0.39994506668294322"/>
      </bottom>
      <diagonal/>
    </border>
    <border>
      <left/>
      <right style="thin">
        <color theme="9"/>
      </right>
      <top style="thin">
        <color theme="9"/>
      </top>
      <bottom style="thin">
        <color theme="9" tint="0.39994506668294322"/>
      </bottom>
      <diagonal/>
    </border>
    <border>
      <left style="thin">
        <color theme="9"/>
      </left>
      <right/>
      <top style="thin">
        <color theme="9" tint="0.39994506668294322"/>
      </top>
      <bottom style="thin">
        <color theme="9" tint="0.39994506668294322"/>
      </bottom>
      <diagonal/>
    </border>
    <border>
      <left/>
      <right/>
      <top style="thin">
        <color theme="9" tint="0.39994506668294322"/>
      </top>
      <bottom style="thin">
        <color theme="9" tint="0.39994506668294322"/>
      </bottom>
      <diagonal/>
    </border>
    <border>
      <left/>
      <right style="thin">
        <color theme="9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/>
      </left>
      <right/>
      <top style="thin">
        <color theme="9" tint="0.39994506668294322"/>
      </top>
      <bottom style="thin">
        <color theme="9"/>
      </bottom>
      <diagonal/>
    </border>
    <border>
      <left/>
      <right/>
      <top style="thin">
        <color theme="9" tint="0.39994506668294322"/>
      </top>
      <bottom style="thin">
        <color theme="9"/>
      </bottom>
      <diagonal/>
    </border>
    <border>
      <left/>
      <right style="thin">
        <color theme="9"/>
      </right>
      <top style="thin">
        <color theme="9" tint="0.39994506668294322"/>
      </top>
      <bottom style="thin">
        <color theme="9"/>
      </bottom>
      <diagonal/>
    </border>
    <border>
      <left style="thin">
        <color theme="4"/>
      </left>
      <right/>
      <top style="thin">
        <color theme="4"/>
      </top>
      <bottom style="thin">
        <color theme="4" tint="0.39994506668294322"/>
      </bottom>
      <diagonal/>
    </border>
    <border>
      <left/>
      <right/>
      <top style="thin">
        <color theme="4"/>
      </top>
      <bottom style="thin">
        <color theme="4" tint="0.39994506668294322"/>
      </bottom>
      <diagonal/>
    </border>
    <border>
      <left/>
      <right style="thin">
        <color theme="4"/>
      </right>
      <top style="thin">
        <color theme="4"/>
      </top>
      <bottom style="thin">
        <color theme="4" tint="0.39994506668294322"/>
      </bottom>
      <diagonal/>
    </border>
    <border>
      <left style="thin">
        <color theme="4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/>
      </left>
      <right/>
      <top style="thin">
        <color theme="4" tint="0.39994506668294322"/>
      </top>
      <bottom style="thin">
        <color theme="4"/>
      </bottom>
      <diagonal/>
    </border>
    <border>
      <left/>
      <right/>
      <top style="thin">
        <color theme="4" tint="0.39994506668294322"/>
      </top>
      <bottom style="thin">
        <color theme="4"/>
      </bottom>
      <diagonal/>
    </border>
    <border>
      <left/>
      <right style="thin">
        <color theme="4"/>
      </right>
      <top style="thin">
        <color theme="4" tint="0.39994506668294322"/>
      </top>
      <bottom style="thin">
        <color theme="4"/>
      </bottom>
      <diagonal/>
    </border>
    <border>
      <left style="thin">
        <color theme="4"/>
      </left>
      <right/>
      <top/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 style="thin">
        <color theme="4"/>
      </left>
      <right/>
      <top style="thin">
        <color theme="4" tint="0.39994506668294322"/>
      </top>
      <bottom/>
      <diagonal/>
    </border>
    <border>
      <left style="thin">
        <color theme="4"/>
      </left>
      <right/>
      <top style="thin">
        <color auto="1"/>
      </top>
      <bottom style="thin">
        <color theme="4" tint="0.39994506668294322"/>
      </bottom>
      <diagonal/>
    </border>
    <border>
      <left/>
      <right/>
      <top style="thin">
        <color auto="1"/>
      </top>
      <bottom style="thin">
        <color theme="4" tint="0.39994506668294322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/>
      </top>
      <bottom style="thin">
        <color auto="1"/>
      </bottom>
      <diagonal/>
    </border>
    <border>
      <left style="thin">
        <color rgb="FFF8CBAD"/>
      </left>
      <right style="thin">
        <color rgb="FFF8CBAD" tint="0.59999389629810485"/>
      </right>
      <top style="thin">
        <color rgb="FFF8CBAD"/>
      </top>
      <bottom style="thin">
        <color rgb="FFF8CBAD"/>
      </bottom>
      <diagonal/>
    </border>
    <border>
      <left style="thin">
        <color rgb="FFF8CBAD" tint="0.59999389629810485"/>
      </left>
      <right style="thin">
        <color rgb="FFF8CBAD" tint="0.59999389629810485"/>
      </right>
      <top style="thin">
        <color rgb="FFF8CBAD"/>
      </top>
      <bottom style="thin">
        <color rgb="FFF8CBAD"/>
      </bottom>
      <diagonal/>
    </border>
    <border>
      <left style="thin">
        <color rgb="FFF8CBAD"/>
      </left>
      <right style="thin">
        <color rgb="FFF8CBAD" tint="0.59999389629810485"/>
      </right>
      <top/>
      <bottom style="thin">
        <color rgb="FFF8CBAD" tint="0.59999389629810485"/>
      </bottom>
      <diagonal/>
    </border>
    <border>
      <left style="thin">
        <color rgb="FFF8CBAD" tint="0.59999389629810485"/>
      </left>
      <right style="thin">
        <color rgb="FFF8CBAD" tint="0.59999389629810485"/>
      </right>
      <top/>
      <bottom style="thin">
        <color rgb="FFF8CBAD" tint="0.59999389629810485"/>
      </bottom>
      <diagonal/>
    </border>
    <border>
      <left style="thin">
        <color rgb="FFF8CBAD" tint="0.59999389629810485"/>
      </left>
      <right/>
      <top/>
      <bottom style="thin">
        <color rgb="FFF8CBAD" tint="0.59999389629810485"/>
      </bottom>
      <diagonal/>
    </border>
    <border>
      <left/>
      <right/>
      <top/>
      <bottom style="thin">
        <color rgb="FFF8CBAD" tint="0.59999389629810485"/>
      </bottom>
      <diagonal/>
    </border>
    <border>
      <left/>
      <right style="thin">
        <color rgb="FFF8CBAD" tint="0.59999389629810485"/>
      </right>
      <top/>
      <bottom style="thin">
        <color rgb="FFF8CBAD" tint="0.59999389629810485"/>
      </bottom>
      <diagonal/>
    </border>
    <border>
      <left style="thin">
        <color rgb="FFF8CBAD"/>
      </left>
      <right style="thin">
        <color rgb="FFF8CBAD" tint="0.59999389629810485"/>
      </right>
      <top style="thin">
        <color rgb="FFF8CBAD" tint="0.59999389629810485"/>
      </top>
      <bottom style="thin">
        <color rgb="FFF8CBAD" tint="0.59999389629810485"/>
      </bottom>
      <diagonal/>
    </border>
    <border>
      <left style="thin">
        <color rgb="FFF8CBAD" tint="0.59999389629810485"/>
      </left>
      <right style="thin">
        <color rgb="FFF8CBAD" tint="0.59999389629810485"/>
      </right>
      <top style="thin">
        <color rgb="FFF8CBAD" tint="0.59999389629810485"/>
      </top>
      <bottom style="thin">
        <color rgb="FFF8CBAD" tint="0.59999389629810485"/>
      </bottom>
      <diagonal/>
    </border>
    <border>
      <left style="thin">
        <color rgb="FFF8CBAD"/>
      </left>
      <right style="thin">
        <color rgb="FFF8CBAD" tint="0.59999389629810485"/>
      </right>
      <top style="thin">
        <color rgb="FFF8CBAD" tint="0.59999389629810485"/>
      </top>
      <bottom style="thin">
        <color rgb="FFF8CBAD"/>
      </bottom>
      <diagonal/>
    </border>
    <border>
      <left style="thin">
        <color rgb="FFF8CBAD" tint="0.59999389629810485"/>
      </left>
      <right style="thin">
        <color rgb="FFF8CBAD" tint="0.59999389629810485"/>
      </right>
      <top style="thin">
        <color rgb="FFF8CBAD" tint="0.59999389629810485"/>
      </top>
      <bottom style="thin">
        <color rgb="FFF8CBAD"/>
      </bottom>
      <diagonal/>
    </border>
    <border>
      <left style="thin">
        <color rgb="FFF8CBAD" tint="0.59999389629810485"/>
      </left>
      <right style="thin">
        <color rgb="FFF8CBAD"/>
      </right>
      <top style="thin">
        <color rgb="FFF8CBAD"/>
      </top>
      <bottom style="thin">
        <color rgb="FFF8CBAD"/>
      </bottom>
      <diagonal/>
    </border>
    <border>
      <left style="thin">
        <color rgb="FFF8CBAD" tint="0.59999389629810485"/>
      </left>
      <right style="thin">
        <color rgb="FFF8CBAD"/>
      </right>
      <top/>
      <bottom style="thin">
        <color rgb="FFF8CBAD" tint="0.59999389629810485"/>
      </bottom>
      <diagonal/>
    </border>
    <border>
      <left style="thin">
        <color rgb="FFF8CBAD" tint="0.59999389629810485"/>
      </left>
      <right style="thin">
        <color rgb="FFF8CBAD"/>
      </right>
      <top style="thin">
        <color rgb="FFF8CBAD" tint="0.59999389629810485"/>
      </top>
      <bottom style="thin">
        <color rgb="FFF8CBAD" tint="0.59999389629810485"/>
      </bottom>
      <diagonal/>
    </border>
    <border>
      <left style="thin">
        <color rgb="FFF8CBAD" tint="0.59999389629810485"/>
      </left>
      <right style="thin">
        <color rgb="FFF8CBAD"/>
      </right>
      <top style="thin">
        <color rgb="FFF8CBAD" tint="0.59999389629810485"/>
      </top>
      <bottom style="thin">
        <color rgb="FFF8CBAD"/>
      </bottom>
      <diagonal/>
    </border>
    <border>
      <left/>
      <right/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</borders>
  <cellStyleXfs count="5">
    <xf numFmtId="0" fontId="0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6" fillId="0" borderId="0"/>
    <xf numFmtId="0" fontId="17" fillId="0" borderId="0">
      <alignment vertical="center"/>
    </xf>
    <xf numFmtId="166" fontId="18" fillId="0" borderId="0" applyFont="0" applyFill="0" applyBorder="0" applyAlignment="0" applyProtection="0">
      <alignment vertical="center"/>
    </xf>
  </cellStyleXfs>
  <cellXfs count="265">
    <xf numFmtId="0" fontId="0" fillId="0" borderId="0" xfId="0">
      <alignment vertical="center"/>
    </xf>
    <xf numFmtId="0" fontId="0" fillId="5" borderId="1" xfId="0" applyFill="1" applyBorder="1" applyAlignment="1">
      <alignment horizontal="left" vertical="center" wrapText="1" readingOrder="1"/>
    </xf>
    <xf numFmtId="0" fontId="0" fillId="5" borderId="2" xfId="0" applyFill="1" applyBorder="1" applyAlignment="1">
      <alignment horizontal="left" vertical="center" wrapText="1" readingOrder="1"/>
    </xf>
    <xf numFmtId="0" fontId="0" fillId="6" borderId="3" xfId="0" applyFill="1" applyBorder="1" applyAlignment="1">
      <alignment horizontal="left" vertical="center" wrapText="1" readingOrder="1"/>
    </xf>
    <xf numFmtId="0" fontId="0" fillId="6" borderId="1" xfId="0" applyFill="1" applyBorder="1" applyAlignment="1">
      <alignment horizontal="left" vertical="center" wrapText="1" readingOrder="1"/>
    </xf>
    <xf numFmtId="0" fontId="0" fillId="6" borderId="4" xfId="0" applyFill="1" applyBorder="1" applyAlignment="1">
      <alignment horizontal="left" vertical="center" wrapText="1" readingOrder="1"/>
    </xf>
    <xf numFmtId="0" fontId="0" fillId="7" borderId="5" xfId="0" applyFill="1" applyBorder="1" applyAlignment="1">
      <alignment horizontal="left" vertical="center" wrapText="1" readingOrder="1"/>
    </xf>
    <xf numFmtId="0" fontId="0" fillId="7" borderId="1" xfId="0" applyFill="1" applyBorder="1" applyAlignment="1">
      <alignment horizontal="left" vertical="center" wrapText="1" readingOrder="1"/>
    </xf>
    <xf numFmtId="0" fontId="0" fillId="0" borderId="1" xfId="0" applyBorder="1" applyAlignment="1">
      <alignment horizontal="left" vertical="center" wrapText="1" readingOrder="1"/>
    </xf>
    <xf numFmtId="0" fontId="0" fillId="0" borderId="2" xfId="0" applyBorder="1" applyAlignment="1">
      <alignment horizontal="left" vertical="center" wrapText="1" readingOrder="1"/>
    </xf>
    <xf numFmtId="0" fontId="0" fillId="0" borderId="3" xfId="0" applyBorder="1" applyAlignment="1">
      <alignment horizontal="left" vertical="center" wrapText="1" readingOrder="1"/>
    </xf>
    <xf numFmtId="49" fontId="0" fillId="0" borderId="1" xfId="0" applyNumberFormat="1" applyBorder="1" applyAlignment="1">
      <alignment horizontal="left" vertical="center" wrapText="1" readingOrder="1"/>
    </xf>
    <xf numFmtId="0" fontId="0" fillId="0" borderId="4" xfId="0" applyBorder="1" applyAlignment="1">
      <alignment horizontal="left" vertical="center" wrapText="1" readingOrder="1"/>
    </xf>
    <xf numFmtId="0" fontId="0" fillId="0" borderId="5" xfId="0" applyBorder="1" applyAlignment="1">
      <alignment horizontal="left" vertical="center" wrapText="1" readingOrder="1"/>
    </xf>
    <xf numFmtId="49" fontId="0" fillId="6" borderId="1" xfId="0" applyNumberFormat="1" applyFill="1" applyBorder="1" applyAlignment="1">
      <alignment horizontal="left" vertical="center" wrapText="1" readingOrder="1"/>
    </xf>
    <xf numFmtId="0" fontId="3" fillId="0" borderId="6" xfId="0" applyFont="1" applyBorder="1" applyAlignment="1">
      <alignment vertical="top" wrapText="1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center"/>
    </xf>
    <xf numFmtId="0" fontId="2" fillId="2" borderId="10" xfId="0" applyFont="1" applyFill="1" applyBorder="1" applyAlignment="1">
      <alignment horizontal="left" vertical="center"/>
    </xf>
    <xf numFmtId="0" fontId="0" fillId="5" borderId="11" xfId="0" applyFill="1" applyBorder="1">
      <alignment vertical="center"/>
    </xf>
    <xf numFmtId="0" fontId="0" fillId="5" borderId="12" xfId="0" applyFill="1" applyBorder="1">
      <alignment vertical="center"/>
    </xf>
    <xf numFmtId="0" fontId="0" fillId="5" borderId="12" xfId="0" applyFill="1" applyBorder="1" applyAlignment="1">
      <alignment horizontal="left" vertical="center"/>
    </xf>
    <xf numFmtId="0" fontId="0" fillId="5" borderId="13" xfId="0" applyFill="1" applyBorder="1" applyAlignment="1">
      <alignment horizontal="left"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left" vertical="center"/>
    </xf>
    <xf numFmtId="0" fontId="2" fillId="4" borderId="19" xfId="0" applyFont="1" applyFill="1" applyBorder="1" applyAlignment="1">
      <alignment horizontal="left" vertical="center"/>
    </xf>
    <xf numFmtId="0" fontId="0" fillId="7" borderId="20" xfId="0" applyFill="1" applyBorder="1">
      <alignment vertical="center"/>
    </xf>
    <xf numFmtId="0" fontId="0" fillId="7" borderId="21" xfId="0" applyFill="1" applyBorder="1">
      <alignment vertical="center"/>
    </xf>
    <xf numFmtId="0" fontId="0" fillId="7" borderId="21" xfId="0" applyFill="1" applyBorder="1" applyAlignment="1">
      <alignment horizontal="left" vertical="center"/>
    </xf>
    <xf numFmtId="0" fontId="0" fillId="7" borderId="22" xfId="0" applyFill="1" applyBorder="1" applyAlignment="1">
      <alignment horizontal="left" vertical="center"/>
    </xf>
    <xf numFmtId="0" fontId="2" fillId="4" borderId="17" xfId="0" applyFont="1" applyFill="1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7" borderId="23" xfId="0" applyFill="1" applyBorder="1">
      <alignment vertical="center"/>
    </xf>
    <xf numFmtId="0" fontId="0" fillId="7" borderId="24" xfId="0" applyFill="1" applyBorder="1">
      <alignment vertical="center"/>
    </xf>
    <xf numFmtId="0" fontId="0" fillId="7" borderId="24" xfId="0" applyFill="1" applyBorder="1" applyAlignment="1">
      <alignment horizontal="left" vertical="center"/>
    </xf>
    <xf numFmtId="0" fontId="0" fillId="7" borderId="25" xfId="0" applyFill="1" applyBorder="1" applyAlignment="1">
      <alignment horizontal="left" vertical="center"/>
    </xf>
    <xf numFmtId="0" fontId="2" fillId="3" borderId="26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left" vertical="center"/>
    </xf>
    <xf numFmtId="0" fontId="2" fillId="3" borderId="28" xfId="0" applyFont="1" applyFill="1" applyBorder="1" applyAlignment="1">
      <alignment horizontal="left" vertical="center"/>
    </xf>
    <xf numFmtId="0" fontId="0" fillId="6" borderId="29" xfId="0" applyFill="1" applyBorder="1" applyAlignment="1">
      <alignment horizontal="center" vertical="center"/>
    </xf>
    <xf numFmtId="0" fontId="0" fillId="6" borderId="30" xfId="0" applyFill="1" applyBorder="1" applyAlignment="1">
      <alignment horizontal="center" vertical="center"/>
    </xf>
    <xf numFmtId="0" fontId="0" fillId="6" borderId="30" xfId="0" applyFill="1" applyBorder="1" applyAlignment="1">
      <alignment horizontal="left" vertical="center"/>
    </xf>
    <xf numFmtId="0" fontId="0" fillId="6" borderId="31" xfId="0" applyFill="1" applyBorder="1" applyAlignment="1">
      <alignment horizontal="left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0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0" fillId="0" borderId="23" xfId="0" applyBorder="1">
      <alignment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3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2" fillId="2" borderId="9" xfId="0" applyFont="1" applyFill="1" applyBorder="1">
      <alignment vertical="center"/>
    </xf>
    <xf numFmtId="0" fontId="2" fillId="2" borderId="10" xfId="0" applyFont="1" applyFill="1" applyBorder="1">
      <alignment vertical="center"/>
    </xf>
    <xf numFmtId="0" fontId="0" fillId="5" borderId="13" xfId="0" applyFill="1" applyBorder="1">
      <alignment vertical="center"/>
    </xf>
    <xf numFmtId="0" fontId="0" fillId="0" borderId="13" xfId="0" applyBorder="1">
      <alignment vertical="center"/>
    </xf>
    <xf numFmtId="0" fontId="0" fillId="0" borderId="16" xfId="0" applyBorder="1">
      <alignment vertical="center"/>
    </xf>
    <xf numFmtId="0" fontId="2" fillId="4" borderId="18" xfId="0" applyFont="1" applyFill="1" applyBorder="1">
      <alignment vertical="center"/>
    </xf>
    <xf numFmtId="0" fontId="2" fillId="4" borderId="19" xfId="0" applyFont="1" applyFill="1" applyBorder="1">
      <alignment vertical="center"/>
    </xf>
    <xf numFmtId="0" fontId="0" fillId="0" borderId="24" xfId="0" applyBorder="1">
      <alignment vertical="center"/>
    </xf>
    <xf numFmtId="0" fontId="0" fillId="0" borderId="25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" fillId="10" borderId="36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4" fontId="0" fillId="6" borderId="30" xfId="0" applyNumberFormat="1" applyFill="1" applyBorder="1" applyAlignment="1">
      <alignment horizontal="center" vertical="center"/>
    </xf>
    <xf numFmtId="4" fontId="0" fillId="6" borderId="1" xfId="0" applyNumberFormat="1" applyFill="1" applyBorder="1" applyAlignment="1">
      <alignment horizontal="center" vertical="center"/>
    </xf>
    <xf numFmtId="4" fontId="0" fillId="0" borderId="30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" fontId="0" fillId="0" borderId="33" xfId="0" applyNumberFormat="1" applyBorder="1" applyAlignment="1">
      <alignment horizontal="center" vertical="center"/>
    </xf>
    <xf numFmtId="0" fontId="0" fillId="11" borderId="38" xfId="0" applyFill="1" applyBorder="1" applyAlignment="1">
      <alignment horizontal="center" vertical="center"/>
    </xf>
    <xf numFmtId="0" fontId="0" fillId="11" borderId="39" xfId="0" applyFill="1" applyBorder="1" applyAlignment="1">
      <alignment horizontal="center" vertical="center"/>
    </xf>
    <xf numFmtId="4" fontId="0" fillId="11" borderId="39" xfId="0" applyNumberFormat="1" applyFill="1" applyBorder="1" applyAlignment="1">
      <alignment horizontal="center" vertical="center"/>
    </xf>
    <xf numFmtId="0" fontId="0" fillId="11" borderId="40" xfId="0" applyFill="1" applyBorder="1" applyAlignment="1">
      <alignment horizontal="center" vertical="center"/>
    </xf>
    <xf numFmtId="0" fontId="8" fillId="3" borderId="41" xfId="0" applyFont="1" applyFill="1" applyBorder="1" applyAlignment="1">
      <alignment horizontal="center" vertical="center" wrapText="1"/>
    </xf>
    <xf numFmtId="0" fontId="9" fillId="12" borderId="0" xfId="0" applyFont="1" applyFill="1" applyAlignment="1">
      <alignment horizontal="center" vertical="center"/>
    </xf>
    <xf numFmtId="4" fontId="0" fillId="12" borderId="30" xfId="0" applyNumberForma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3" borderId="28" xfId="0" applyFont="1" applyFill="1" applyBorder="1" applyAlignment="1">
      <alignment horizontal="center" vertical="center"/>
    </xf>
    <xf numFmtId="0" fontId="5" fillId="14" borderId="0" xfId="0" applyFont="1" applyFill="1" applyAlignment="1">
      <alignment horizontal="center" vertical="center" wrapText="1"/>
    </xf>
    <xf numFmtId="10" fontId="0" fillId="6" borderId="31" xfId="0" applyNumberFormat="1" applyFill="1" applyBorder="1" applyAlignment="1">
      <alignment horizontal="center" vertical="center"/>
    </xf>
    <xf numFmtId="4" fontId="0" fillId="14" borderId="30" xfId="0" applyNumberFormat="1" applyFill="1" applyBorder="1" applyAlignment="1">
      <alignment horizontal="center" vertical="center"/>
    </xf>
    <xf numFmtId="0" fontId="0" fillId="5" borderId="11" xfId="0" applyFill="1" applyBorder="1" applyAlignment="1">
      <alignment horizontal="left" vertical="center" wrapText="1" readingOrder="1"/>
    </xf>
    <xf numFmtId="0" fontId="0" fillId="5" borderId="12" xfId="0" applyFill="1" applyBorder="1" applyAlignment="1">
      <alignment horizontal="left" vertical="center" wrapText="1" readingOrder="1"/>
    </xf>
    <xf numFmtId="0" fontId="8" fillId="5" borderId="12" xfId="0" applyFont="1" applyFill="1" applyBorder="1" applyAlignment="1">
      <alignment horizontal="left" vertical="center" wrapText="1" readingOrder="1"/>
    </xf>
    <xf numFmtId="0" fontId="8" fillId="5" borderId="13" xfId="0" applyFont="1" applyFill="1" applyBorder="1" applyAlignment="1">
      <alignment horizontal="left" vertical="center" wrapText="1" readingOrder="1"/>
    </xf>
    <xf numFmtId="0" fontId="0" fillId="6" borderId="29" xfId="0" applyFill="1" applyBorder="1" applyAlignment="1">
      <alignment horizontal="left" vertical="center" wrapText="1" readingOrder="1"/>
    </xf>
    <xf numFmtId="10" fontId="0" fillId="0" borderId="31" xfId="0" applyNumberFormat="1" applyBorder="1" applyAlignment="1">
      <alignment horizontal="center" vertical="center"/>
    </xf>
    <xf numFmtId="0" fontId="0" fillId="0" borderId="11" xfId="0" applyBorder="1" applyAlignment="1">
      <alignment horizontal="left" vertical="center" wrapText="1" readingOrder="1"/>
    </xf>
    <xf numFmtId="0" fontId="0" fillId="0" borderId="12" xfId="0" applyBorder="1" applyAlignment="1">
      <alignment horizontal="left" vertical="center" wrapText="1" readingOrder="1"/>
    </xf>
    <xf numFmtId="9" fontId="0" fillId="0" borderId="12" xfId="0" applyNumberFormat="1" applyBorder="1" applyAlignment="1">
      <alignment horizontal="left" vertical="center" wrapText="1" readingOrder="1"/>
    </xf>
    <xf numFmtId="9" fontId="0" fillId="0" borderId="13" xfId="0" applyNumberFormat="1" applyBorder="1" applyAlignment="1">
      <alignment horizontal="left" vertical="center" wrapText="1" readingOrder="1"/>
    </xf>
    <xf numFmtId="0" fontId="0" fillId="0" borderId="29" xfId="0" applyBorder="1" applyAlignment="1">
      <alignment horizontal="left" vertical="center" wrapText="1" readingOrder="1"/>
    </xf>
    <xf numFmtId="9" fontId="0" fillId="5" borderId="12" xfId="0" applyNumberFormat="1" applyFill="1" applyBorder="1" applyAlignment="1">
      <alignment horizontal="left" vertical="center" wrapText="1" readingOrder="1"/>
    </xf>
    <xf numFmtId="9" fontId="0" fillId="5" borderId="13" xfId="0" applyNumberFormat="1" applyFill="1" applyBorder="1" applyAlignment="1">
      <alignment horizontal="left" vertical="center" wrapText="1" readingOrder="1"/>
    </xf>
    <xf numFmtId="0" fontId="0" fillId="0" borderId="31" xfId="0" applyBorder="1" applyAlignment="1">
      <alignment horizontal="center" vertical="center"/>
    </xf>
    <xf numFmtId="0" fontId="0" fillId="6" borderId="32" xfId="0" applyFill="1" applyBorder="1" applyAlignment="1">
      <alignment horizontal="left" vertical="center" wrapText="1" readingOrder="1"/>
    </xf>
    <xf numFmtId="10" fontId="0" fillId="0" borderId="34" xfId="0" applyNumberFormat="1" applyBorder="1" applyAlignment="1">
      <alignment horizontal="center" vertical="center"/>
    </xf>
    <xf numFmtId="0" fontId="0" fillId="0" borderId="14" xfId="0" applyBorder="1" applyAlignment="1">
      <alignment horizontal="left" vertical="center" wrapText="1" readingOrder="1"/>
    </xf>
    <xf numFmtId="0" fontId="0" fillId="0" borderId="15" xfId="0" applyBorder="1" applyAlignment="1">
      <alignment horizontal="left" vertical="center" wrapText="1" readingOrder="1"/>
    </xf>
    <xf numFmtId="9" fontId="0" fillId="0" borderId="15" xfId="0" applyNumberFormat="1" applyBorder="1" applyAlignment="1">
      <alignment horizontal="left" vertical="center" wrapText="1" readingOrder="1"/>
    </xf>
    <xf numFmtId="9" fontId="0" fillId="0" borderId="16" xfId="0" applyNumberFormat="1" applyBorder="1" applyAlignment="1">
      <alignment horizontal="left" vertical="center" wrapText="1" readingOrder="1"/>
    </xf>
    <xf numFmtId="0" fontId="12" fillId="16" borderId="44" xfId="0" applyFont="1" applyFill="1" applyBorder="1" applyAlignment="1">
      <alignment horizontal="center" vertical="center"/>
    </xf>
    <xf numFmtId="0" fontId="12" fillId="16" borderId="45" xfId="0" applyFont="1" applyFill="1" applyBorder="1" applyAlignment="1">
      <alignment horizontal="center" vertical="center"/>
    </xf>
    <xf numFmtId="9" fontId="13" fillId="16" borderId="50" xfId="0" applyNumberFormat="1" applyFont="1" applyFill="1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0" fontId="13" fillId="16" borderId="51" xfId="0" applyFont="1" applyFill="1" applyBorder="1" applyAlignment="1">
      <alignment horizontal="center" vertical="center"/>
    </xf>
    <xf numFmtId="0" fontId="13" fillId="16" borderId="52" xfId="0" applyFont="1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6" borderId="30" xfId="0" applyFill="1" applyBorder="1" applyAlignment="1">
      <alignment horizontal="left" vertical="center" wrapText="1" readingOrder="1"/>
    </xf>
    <xf numFmtId="0" fontId="8" fillId="6" borderId="30" xfId="0" applyFont="1" applyFill="1" applyBorder="1" applyAlignment="1">
      <alignment horizontal="left" vertical="center" wrapText="1" readingOrder="1"/>
    </xf>
    <xf numFmtId="0" fontId="8" fillId="6" borderId="31" xfId="0" applyFont="1" applyFill="1" applyBorder="1" applyAlignment="1">
      <alignment horizontal="left" vertical="center" wrapText="1" readingOrder="1"/>
    </xf>
    <xf numFmtId="0" fontId="0" fillId="7" borderId="20" xfId="0" applyFill="1" applyBorder="1" applyAlignment="1">
      <alignment horizontal="left" vertical="center" wrapText="1" readingOrder="1"/>
    </xf>
    <xf numFmtId="0" fontId="0" fillId="7" borderId="21" xfId="0" applyFill="1" applyBorder="1" applyAlignment="1">
      <alignment horizontal="left" vertical="center" wrapText="1" readingOrder="1"/>
    </xf>
    <xf numFmtId="0" fontId="8" fillId="7" borderId="21" xfId="0" applyFont="1" applyFill="1" applyBorder="1" applyAlignment="1">
      <alignment horizontal="left" vertical="center" wrapText="1" readingOrder="1"/>
    </xf>
    <xf numFmtId="49" fontId="0" fillId="0" borderId="30" xfId="0" applyNumberFormat="1" applyBorder="1" applyAlignment="1">
      <alignment horizontal="left" vertical="center" wrapText="1" readingOrder="1"/>
    </xf>
    <xf numFmtId="0" fontId="0" fillId="0" borderId="30" xfId="0" applyBorder="1" applyAlignment="1">
      <alignment horizontal="left" vertical="center" wrapText="1" readingOrder="1"/>
    </xf>
    <xf numFmtId="9" fontId="0" fillId="0" borderId="30" xfId="0" applyNumberFormat="1" applyBorder="1" applyAlignment="1">
      <alignment horizontal="left" vertical="center" wrapText="1" readingOrder="1"/>
    </xf>
    <xf numFmtId="9" fontId="0" fillId="0" borderId="31" xfId="0" applyNumberFormat="1" applyBorder="1" applyAlignment="1">
      <alignment horizontal="left" vertical="center" wrapText="1" readingOrder="1"/>
    </xf>
    <xf numFmtId="0" fontId="0" fillId="0" borderId="20" xfId="0" applyBorder="1" applyAlignment="1">
      <alignment horizontal="left" vertical="center" wrapText="1" readingOrder="1"/>
    </xf>
    <xf numFmtId="0" fontId="0" fillId="0" borderId="21" xfId="0" applyBorder="1" applyAlignment="1">
      <alignment horizontal="left" vertical="center" wrapText="1" readingOrder="1"/>
    </xf>
    <xf numFmtId="9" fontId="0" fillId="0" borderId="21" xfId="0" applyNumberFormat="1" applyBorder="1" applyAlignment="1">
      <alignment horizontal="left" vertical="center" wrapText="1" readingOrder="1"/>
    </xf>
    <xf numFmtId="49" fontId="0" fillId="6" borderId="30" xfId="0" applyNumberFormat="1" applyFill="1" applyBorder="1" applyAlignment="1">
      <alignment horizontal="left" vertical="center" wrapText="1" readingOrder="1"/>
    </xf>
    <xf numFmtId="9" fontId="0" fillId="6" borderId="30" xfId="0" applyNumberFormat="1" applyFill="1" applyBorder="1" applyAlignment="1">
      <alignment horizontal="left" vertical="center" wrapText="1" readingOrder="1"/>
    </xf>
    <xf numFmtId="9" fontId="0" fillId="6" borderId="31" xfId="0" applyNumberFormat="1" applyFill="1" applyBorder="1" applyAlignment="1">
      <alignment horizontal="left" vertical="center" wrapText="1" readingOrder="1"/>
    </xf>
    <xf numFmtId="9" fontId="0" fillId="7" borderId="21" xfId="0" applyNumberFormat="1" applyFill="1" applyBorder="1" applyAlignment="1">
      <alignment horizontal="left" vertical="center" wrapText="1" readingOrder="1"/>
    </xf>
    <xf numFmtId="49" fontId="0" fillId="6" borderId="33" xfId="0" applyNumberFormat="1" applyFill="1" applyBorder="1" applyAlignment="1">
      <alignment horizontal="left" vertical="center" wrapText="1" readingOrder="1"/>
    </xf>
    <xf numFmtId="0" fontId="0" fillId="6" borderId="33" xfId="0" applyFill="1" applyBorder="1" applyAlignment="1">
      <alignment horizontal="left" vertical="center" wrapText="1" readingOrder="1"/>
    </xf>
    <xf numFmtId="9" fontId="0" fillId="6" borderId="33" xfId="0" applyNumberFormat="1" applyFill="1" applyBorder="1" applyAlignment="1">
      <alignment horizontal="left" vertical="center" wrapText="1" readingOrder="1"/>
    </xf>
    <xf numFmtId="9" fontId="0" fillId="6" borderId="34" xfId="0" applyNumberFormat="1" applyFill="1" applyBorder="1" applyAlignment="1">
      <alignment horizontal="left" vertical="center" wrapText="1" readingOrder="1"/>
    </xf>
    <xf numFmtId="0" fontId="0" fillId="7" borderId="23" xfId="0" applyFill="1" applyBorder="1" applyAlignment="1">
      <alignment horizontal="left" vertical="center" wrapText="1" readingOrder="1"/>
    </xf>
    <xf numFmtId="0" fontId="0" fillId="7" borderId="24" xfId="0" applyFill="1" applyBorder="1" applyAlignment="1">
      <alignment horizontal="left" vertical="center" wrapText="1" readingOrder="1"/>
    </xf>
    <xf numFmtId="9" fontId="0" fillId="7" borderId="24" xfId="0" applyNumberFormat="1" applyFill="1" applyBorder="1" applyAlignment="1">
      <alignment horizontal="left" vertical="center" wrapText="1" readingOrder="1"/>
    </xf>
    <xf numFmtId="0" fontId="8" fillId="7" borderId="22" xfId="0" applyFont="1" applyFill="1" applyBorder="1" applyAlignment="1">
      <alignment horizontal="left" vertical="center" wrapText="1" readingOrder="1"/>
    </xf>
    <xf numFmtId="9" fontId="0" fillId="0" borderId="22" xfId="0" applyNumberFormat="1" applyBorder="1" applyAlignment="1">
      <alignment horizontal="left" vertical="center" wrapText="1" readingOrder="1"/>
    </xf>
    <xf numFmtId="9" fontId="0" fillId="7" borderId="22" xfId="0" applyNumberFormat="1" applyFill="1" applyBorder="1" applyAlignment="1">
      <alignment horizontal="left" vertical="center" wrapText="1" readingOrder="1"/>
    </xf>
    <xf numFmtId="9" fontId="0" fillId="7" borderId="25" xfId="0" applyNumberFormat="1" applyFill="1" applyBorder="1" applyAlignment="1">
      <alignment horizontal="left" vertical="center" wrapText="1" readingOrder="1"/>
    </xf>
    <xf numFmtId="0" fontId="0" fillId="0" borderId="0" xfId="0" applyAlignment="1">
      <alignment horizontal="center" vertical="center"/>
    </xf>
    <xf numFmtId="0" fontId="5" fillId="17" borderId="58" xfId="0" applyFont="1" applyFill="1" applyBorder="1" applyAlignment="1">
      <alignment horizontal="center" vertical="center"/>
    </xf>
    <xf numFmtId="0" fontId="5" fillId="17" borderId="59" xfId="0" applyFont="1" applyFill="1" applyBorder="1" applyAlignment="1">
      <alignment horizontal="center" vertical="center"/>
    </xf>
    <xf numFmtId="0" fontId="5" fillId="17" borderId="59" xfId="0" applyFont="1" applyFill="1" applyBorder="1">
      <alignment vertical="center"/>
    </xf>
    <xf numFmtId="0" fontId="5" fillId="17" borderId="59" xfId="0" applyFont="1" applyFill="1" applyBorder="1" applyAlignment="1">
      <alignment horizontal="center" vertical="center" wrapText="1"/>
    </xf>
    <xf numFmtId="0" fontId="5" fillId="17" borderId="60" xfId="0" applyFont="1" applyFill="1" applyBorder="1" applyAlignment="1">
      <alignment horizontal="center" vertical="center" wrapText="1"/>
    </xf>
    <xf numFmtId="0" fontId="0" fillId="5" borderId="61" xfId="0" applyFill="1" applyBorder="1" applyAlignment="1">
      <alignment horizontal="center" vertical="center"/>
    </xf>
    <xf numFmtId="0" fontId="0" fillId="5" borderId="62" xfId="0" applyFill="1" applyBorder="1" applyAlignment="1">
      <alignment horizontal="center" vertical="center"/>
    </xf>
    <xf numFmtId="0" fontId="0" fillId="5" borderId="63" xfId="0" applyFill="1" applyBorder="1" applyAlignment="1">
      <alignment horizontal="center" vertical="center"/>
    </xf>
    <xf numFmtId="0" fontId="0" fillId="17" borderId="61" xfId="0" applyFill="1" applyBorder="1" applyAlignment="1">
      <alignment horizontal="center" vertical="center"/>
    </xf>
    <xf numFmtId="0" fontId="0" fillId="17" borderId="62" xfId="0" applyFill="1" applyBorder="1" applyAlignment="1">
      <alignment horizontal="center" vertical="center"/>
    </xf>
    <xf numFmtId="49" fontId="0" fillId="17" borderId="62" xfId="0" applyNumberFormat="1" applyFill="1" applyBorder="1" applyAlignment="1">
      <alignment horizontal="center" vertical="center"/>
    </xf>
    <xf numFmtId="0" fontId="0" fillId="17" borderId="63" xfId="0" applyFill="1" applyBorder="1" applyAlignment="1">
      <alignment horizontal="center" vertical="center"/>
    </xf>
    <xf numFmtId="49" fontId="0" fillId="5" borderId="62" xfId="0" applyNumberFormat="1" applyFill="1" applyBorder="1" applyAlignment="1">
      <alignment horizontal="center" vertical="center"/>
    </xf>
    <xf numFmtId="9" fontId="0" fillId="5" borderId="63" xfId="0" applyNumberFormat="1" applyFill="1" applyBorder="1" applyAlignment="1">
      <alignment horizontal="center" vertical="center"/>
    </xf>
    <xf numFmtId="9" fontId="0" fillId="17" borderId="63" xfId="0" applyNumberFormat="1" applyFill="1" applyBorder="1" applyAlignment="1">
      <alignment horizontal="center" vertical="center"/>
    </xf>
    <xf numFmtId="0" fontId="0" fillId="5" borderId="64" xfId="0" applyFill="1" applyBorder="1" applyAlignment="1">
      <alignment horizontal="center" vertical="center"/>
    </xf>
    <xf numFmtId="0" fontId="0" fillId="5" borderId="65" xfId="0" applyFill="1" applyBorder="1" applyAlignment="1">
      <alignment horizontal="center" vertical="center"/>
    </xf>
    <xf numFmtId="14" fontId="0" fillId="5" borderId="65" xfId="0" applyNumberFormat="1" applyFill="1" applyBorder="1" applyAlignment="1">
      <alignment horizontal="center" vertical="center"/>
    </xf>
    <xf numFmtId="49" fontId="0" fillId="5" borderId="65" xfId="0" applyNumberFormat="1" applyFill="1" applyBorder="1" applyAlignment="1">
      <alignment horizontal="center" vertical="center"/>
    </xf>
    <xf numFmtId="9" fontId="0" fillId="5" borderId="66" xfId="0" applyNumberFormat="1" applyFill="1" applyBorder="1" applyAlignment="1">
      <alignment horizontal="center" vertical="center"/>
    </xf>
    <xf numFmtId="0" fontId="5" fillId="18" borderId="58" xfId="0" applyFont="1" applyFill="1" applyBorder="1" applyAlignment="1">
      <alignment horizontal="center" vertical="center"/>
    </xf>
    <xf numFmtId="0" fontId="5" fillId="18" borderId="59" xfId="0" applyFont="1" applyFill="1" applyBorder="1" applyAlignment="1">
      <alignment horizontal="center" vertical="center"/>
    </xf>
    <xf numFmtId="49" fontId="5" fillId="18" borderId="59" xfId="0" applyNumberFormat="1" applyFont="1" applyFill="1" applyBorder="1" applyAlignment="1">
      <alignment horizontal="center" vertical="center"/>
    </xf>
    <xf numFmtId="0" fontId="5" fillId="18" borderId="59" xfId="0" applyFont="1" applyFill="1" applyBorder="1" applyAlignment="1">
      <alignment horizontal="center" vertical="center" wrapText="1"/>
    </xf>
    <xf numFmtId="0" fontId="5" fillId="18" borderId="60" xfId="0" applyFont="1" applyFill="1" applyBorder="1" applyAlignment="1">
      <alignment horizontal="center" vertical="center" wrapText="1"/>
    </xf>
    <xf numFmtId="0" fontId="0" fillId="6" borderId="61" xfId="0" applyFill="1" applyBorder="1" applyAlignment="1">
      <alignment horizontal="center" vertical="center"/>
    </xf>
    <xf numFmtId="0" fontId="0" fillId="6" borderId="62" xfId="0" applyFill="1" applyBorder="1" applyAlignment="1">
      <alignment horizontal="center" vertical="center"/>
    </xf>
    <xf numFmtId="0" fontId="0" fillId="6" borderId="63" xfId="0" applyFill="1" applyBorder="1" applyAlignment="1">
      <alignment horizontal="center" vertical="center"/>
    </xf>
    <xf numFmtId="0" fontId="0" fillId="18" borderId="61" xfId="0" applyFill="1" applyBorder="1" applyAlignment="1">
      <alignment horizontal="center" vertical="center"/>
    </xf>
    <xf numFmtId="0" fontId="0" fillId="18" borderId="62" xfId="0" applyFill="1" applyBorder="1" applyAlignment="1">
      <alignment horizontal="center" vertical="center"/>
    </xf>
    <xf numFmtId="49" fontId="0" fillId="18" borderId="62" xfId="0" applyNumberFormat="1" applyFill="1" applyBorder="1" applyAlignment="1">
      <alignment horizontal="center" vertical="center"/>
    </xf>
    <xf numFmtId="0" fontId="0" fillId="18" borderId="63" xfId="0" applyFill="1" applyBorder="1" applyAlignment="1">
      <alignment horizontal="center" vertical="center"/>
    </xf>
    <xf numFmtId="49" fontId="0" fillId="6" borderId="62" xfId="0" applyNumberFormat="1" applyFill="1" applyBorder="1" applyAlignment="1">
      <alignment horizontal="center" vertical="center"/>
    </xf>
    <xf numFmtId="0" fontId="0" fillId="6" borderId="64" xfId="0" applyFill="1" applyBorder="1" applyAlignment="1">
      <alignment horizontal="center" vertical="center"/>
    </xf>
    <xf numFmtId="0" fontId="0" fillId="6" borderId="65" xfId="0" applyFill="1" applyBorder="1" applyAlignment="1">
      <alignment horizontal="center" vertical="center"/>
    </xf>
    <xf numFmtId="14" fontId="0" fillId="6" borderId="65" xfId="0" applyNumberFormat="1" applyFill="1" applyBorder="1" applyAlignment="1">
      <alignment horizontal="center" vertical="center"/>
    </xf>
    <xf numFmtId="49" fontId="0" fillId="6" borderId="65" xfId="0" applyNumberFormat="1" applyFill="1" applyBorder="1" applyAlignment="1">
      <alignment horizontal="center" vertical="center"/>
    </xf>
    <xf numFmtId="9" fontId="0" fillId="6" borderId="66" xfId="0" applyNumberFormat="1" applyFill="1" applyBorder="1" applyAlignment="1">
      <alignment horizontal="center" vertical="center"/>
    </xf>
    <xf numFmtId="0" fontId="2" fillId="4" borderId="68" xfId="0" applyFont="1" applyFill="1" applyBorder="1" applyAlignment="1">
      <alignment horizontal="center" vertical="center"/>
    </xf>
    <xf numFmtId="0" fontId="5" fillId="19" borderId="58" xfId="0" applyFont="1" applyFill="1" applyBorder="1" applyAlignment="1">
      <alignment horizontal="center" vertical="center"/>
    </xf>
    <xf numFmtId="0" fontId="5" fillId="19" borderId="59" xfId="0" applyFont="1" applyFill="1" applyBorder="1" applyAlignment="1">
      <alignment horizontal="center" vertical="center"/>
    </xf>
    <xf numFmtId="0" fontId="5" fillId="19" borderId="59" xfId="0" applyFont="1" applyFill="1" applyBorder="1">
      <alignment vertical="center"/>
    </xf>
    <xf numFmtId="0" fontId="5" fillId="19" borderId="59" xfId="0" applyFont="1" applyFill="1" applyBorder="1" applyAlignment="1">
      <alignment horizontal="center" vertical="center" wrapText="1"/>
    </xf>
    <xf numFmtId="0" fontId="5" fillId="19" borderId="60" xfId="0" applyFont="1" applyFill="1" applyBorder="1" applyAlignment="1">
      <alignment horizontal="center" vertical="center" wrapText="1"/>
    </xf>
    <xf numFmtId="0" fontId="0" fillId="7" borderId="61" xfId="0" applyFill="1" applyBorder="1" applyAlignment="1">
      <alignment horizontal="center" vertical="center"/>
    </xf>
    <xf numFmtId="0" fontId="0" fillId="7" borderId="62" xfId="0" applyFill="1" applyBorder="1" applyAlignment="1">
      <alignment horizontal="center" vertical="center"/>
    </xf>
    <xf numFmtId="0" fontId="0" fillId="7" borderId="63" xfId="0" applyFill="1" applyBorder="1" applyAlignment="1">
      <alignment horizontal="center" vertical="center"/>
    </xf>
    <xf numFmtId="0" fontId="0" fillId="19" borderId="61" xfId="0" applyFill="1" applyBorder="1" applyAlignment="1">
      <alignment horizontal="center" vertical="center"/>
    </xf>
    <xf numFmtId="0" fontId="0" fillId="19" borderId="62" xfId="0" applyFill="1" applyBorder="1" applyAlignment="1">
      <alignment horizontal="center" vertical="center"/>
    </xf>
    <xf numFmtId="49" fontId="0" fillId="19" borderId="62" xfId="0" applyNumberFormat="1" applyFill="1" applyBorder="1" applyAlignment="1">
      <alignment horizontal="center" vertical="center"/>
    </xf>
    <xf numFmtId="0" fontId="0" fillId="19" borderId="63" xfId="0" applyFill="1" applyBorder="1" applyAlignment="1">
      <alignment horizontal="center" vertical="center"/>
    </xf>
    <xf numFmtId="49" fontId="0" fillId="7" borderId="62" xfId="0" applyNumberFormat="1" applyFill="1" applyBorder="1" applyAlignment="1">
      <alignment horizontal="center" vertical="center"/>
    </xf>
    <xf numFmtId="0" fontId="0" fillId="7" borderId="64" xfId="0" applyFill="1" applyBorder="1" applyAlignment="1">
      <alignment horizontal="center" vertical="center"/>
    </xf>
    <xf numFmtId="0" fontId="0" fillId="7" borderId="65" xfId="0" applyFill="1" applyBorder="1" applyAlignment="1">
      <alignment horizontal="center" vertical="center"/>
    </xf>
    <xf numFmtId="14" fontId="0" fillId="7" borderId="65" xfId="0" applyNumberFormat="1" applyFill="1" applyBorder="1" applyAlignment="1">
      <alignment horizontal="center" vertical="center"/>
    </xf>
    <xf numFmtId="49" fontId="0" fillId="7" borderId="65" xfId="0" applyNumberFormat="1" applyFill="1" applyBorder="1" applyAlignment="1">
      <alignment horizontal="center" vertical="center"/>
    </xf>
    <xf numFmtId="0" fontId="0" fillId="7" borderId="66" xfId="0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2" fillId="2" borderId="57" xfId="0" applyFont="1" applyFill="1" applyBorder="1" applyAlignment="1">
      <alignment horizontal="center" vertical="center"/>
    </xf>
    <xf numFmtId="0" fontId="14" fillId="3" borderId="67" xfId="0" applyFont="1" applyFill="1" applyBorder="1" applyAlignment="1">
      <alignment horizontal="center" vertical="center"/>
    </xf>
    <xf numFmtId="0" fontId="14" fillId="4" borderId="67" xfId="0" applyFont="1" applyFill="1" applyBorder="1" applyAlignment="1">
      <alignment horizontal="center" vertical="center"/>
    </xf>
    <xf numFmtId="0" fontId="4" fillId="9" borderId="35" xfId="0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2" fillId="2" borderId="10" xfId="0" applyFont="1" applyFill="1" applyBorder="1" applyAlignment="1">
      <alignment horizontal="center" vertical="center" wrapText="1" readingOrder="1"/>
    </xf>
    <xf numFmtId="0" fontId="2" fillId="3" borderId="26" xfId="0" applyFont="1" applyFill="1" applyBorder="1" applyAlignment="1">
      <alignment horizontal="center" vertical="center" wrapText="1" readingOrder="1"/>
    </xf>
    <xf numFmtId="0" fontId="2" fillId="3" borderId="27" xfId="0" applyFont="1" applyFill="1" applyBorder="1" applyAlignment="1">
      <alignment horizontal="center" vertical="center" wrapText="1" readingOrder="1"/>
    </xf>
    <xf numFmtId="0" fontId="2" fillId="3" borderId="28" xfId="0" applyFont="1" applyFill="1" applyBorder="1" applyAlignment="1">
      <alignment horizontal="center" vertical="center" wrapText="1" readingOrder="1"/>
    </xf>
    <xf numFmtId="0" fontId="2" fillId="4" borderId="17" xfId="0" applyFont="1" applyFill="1" applyBorder="1" applyAlignment="1">
      <alignment horizontal="center" vertical="center" wrapText="1" readingOrder="1"/>
    </xf>
    <xf numFmtId="0" fontId="2" fillId="4" borderId="18" xfId="0" applyFont="1" applyFill="1" applyBorder="1" applyAlignment="1">
      <alignment horizontal="center" vertical="center" wrapText="1" readingOrder="1"/>
    </xf>
    <xf numFmtId="0" fontId="2" fillId="4" borderId="19" xfId="0" applyFont="1" applyFill="1" applyBorder="1" applyAlignment="1">
      <alignment horizontal="center" vertical="center" wrapText="1" readingOrder="1"/>
    </xf>
    <xf numFmtId="0" fontId="11" fillId="15" borderId="42" xfId="0" applyFont="1" applyFill="1" applyBorder="1" applyAlignment="1">
      <alignment horizontal="center" vertical="center"/>
    </xf>
    <xf numFmtId="0" fontId="11" fillId="15" borderId="43" xfId="0" applyFont="1" applyFill="1" applyBorder="1" applyAlignment="1">
      <alignment horizontal="center" vertical="center"/>
    </xf>
    <xf numFmtId="0" fontId="11" fillId="15" borderId="53" xfId="0" applyFont="1" applyFill="1" applyBorder="1" applyAlignment="1">
      <alignment horizontal="center" vertical="center"/>
    </xf>
    <xf numFmtId="0" fontId="12" fillId="16" borderId="46" xfId="0" applyFont="1" applyFill="1" applyBorder="1" applyAlignment="1">
      <alignment horizontal="center" vertical="center"/>
    </xf>
    <xf numFmtId="0" fontId="12" fillId="16" borderId="47" xfId="0" applyFont="1" applyFill="1" applyBorder="1" applyAlignment="1">
      <alignment horizontal="center" vertical="center"/>
    </xf>
    <xf numFmtId="0" fontId="12" fillId="16" borderId="48" xfId="0" applyFont="1" applyFill="1" applyBorder="1" applyAlignment="1">
      <alignment horizontal="center" vertical="center"/>
    </xf>
    <xf numFmtId="0" fontId="12" fillId="16" borderId="45" xfId="0" applyFont="1" applyFill="1" applyBorder="1" applyAlignment="1">
      <alignment horizontal="center" vertical="center"/>
    </xf>
    <xf numFmtId="0" fontId="12" fillId="16" borderId="54" xfId="0" applyFont="1" applyFill="1" applyBorder="1" applyAlignment="1">
      <alignment horizontal="center" vertical="center"/>
    </xf>
    <xf numFmtId="0" fontId="13" fillId="16" borderId="50" xfId="0" applyFont="1" applyFill="1" applyBorder="1" applyAlignment="1">
      <alignment horizontal="center" vertical="center"/>
    </xf>
    <xf numFmtId="0" fontId="13" fillId="16" borderId="52" xfId="0" applyFont="1" applyFill="1" applyBorder="1" applyAlignment="1">
      <alignment horizontal="left" vertical="center"/>
    </xf>
    <xf numFmtId="0" fontId="13" fillId="16" borderId="56" xfId="0" applyFont="1" applyFill="1" applyBorder="1" applyAlignment="1">
      <alignment horizontal="left" vertical="center"/>
    </xf>
    <xf numFmtId="0" fontId="0" fillId="6" borderId="37" xfId="0" applyFill="1" applyBorder="1" applyAlignment="1">
      <alignment horizontal="center" vertical="center"/>
    </xf>
    <xf numFmtId="0" fontId="0" fillId="6" borderId="35" xfId="0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 wrapText="1"/>
    </xf>
    <xf numFmtId="0" fontId="0" fillId="6" borderId="30" xfId="0" applyFill="1" applyBorder="1" applyAlignment="1">
      <alignment horizontal="center" vertical="center" wrapText="1"/>
    </xf>
    <xf numFmtId="0" fontId="0" fillId="0" borderId="11" xfId="0" applyBorder="1" applyAlignment="1">
      <alignment horizontal="left" vertical="center" wrapText="1" readingOrder="1"/>
    </xf>
    <xf numFmtId="0" fontId="13" fillId="16" borderId="49" xfId="0" applyFont="1" applyFill="1" applyBorder="1" applyAlignment="1">
      <alignment horizontal="center" vertical="center"/>
    </xf>
    <xf numFmtId="0" fontId="13" fillId="16" borderId="50" xfId="0" applyFont="1" applyFill="1" applyBorder="1" applyAlignment="1">
      <alignment horizontal="center" vertical="center" wrapText="1"/>
    </xf>
    <xf numFmtId="0" fontId="0" fillId="0" borderId="20" xfId="0" applyBorder="1" applyAlignment="1">
      <alignment horizontal="left" vertical="center" wrapText="1" readingOrder="1"/>
    </xf>
    <xf numFmtId="0" fontId="13" fillId="16" borderId="50" xfId="0" applyFont="1" applyFill="1" applyBorder="1" applyAlignment="1">
      <alignment horizontal="left" vertical="center" wrapText="1"/>
    </xf>
    <xf numFmtId="0" fontId="13" fillId="16" borderId="55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3" borderId="3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 vertical="center" wrapText="1" readingOrder="1"/>
    </xf>
    <xf numFmtId="0" fontId="2" fillId="3" borderId="4" xfId="0" applyFont="1" applyFill="1" applyBorder="1" applyAlignment="1">
      <alignment horizontal="center" vertical="center" wrapText="1" readingOrder="1"/>
    </xf>
    <xf numFmtId="0" fontId="2" fillId="4" borderId="5" xfId="0" applyFont="1" applyFill="1" applyBorder="1" applyAlignment="1">
      <alignment horizontal="center" vertical="center" wrapText="1" readingOrder="1"/>
    </xf>
    <xf numFmtId="0" fontId="2" fillId="4" borderId="1" xfId="0" applyFont="1" applyFill="1" applyBorder="1" applyAlignment="1">
      <alignment horizontal="center" vertical="center" wrapText="1" readingOrder="1"/>
    </xf>
    <xf numFmtId="0" fontId="0" fillId="0" borderId="1" xfId="0" applyBorder="1" applyAlignment="1">
      <alignment horizontal="left" vertical="center" wrapText="1" readingOrder="1"/>
    </xf>
    <xf numFmtId="0" fontId="0" fillId="0" borderId="5" xfId="0" applyBorder="1" applyAlignment="1">
      <alignment horizontal="left" vertical="center" wrapText="1" readingOrder="1"/>
    </xf>
  </cellXfs>
  <cellStyles count="5">
    <cellStyle name="Normal" xfId="0" builtinId="0"/>
    <cellStyle name="千位分隔 2" xfId="4" xr:uid="{00000000-0005-0000-0000-000034000000}"/>
    <cellStyle name="常规 2" xfId="2" xr:uid="{00000000-0005-0000-0000-000032000000}"/>
    <cellStyle name="常规_Salary_Review_2008" xfId="3" xr:uid="{00000000-0005-0000-0000-000033000000}"/>
    <cellStyle name="百分比 2" xfId="1" xr:uid="{00000000-0005-0000-0000-000031000000}"/>
  </cellStyles>
  <dxfs count="24">
    <dxf>
      <fill>
        <patternFill patternType="solid">
          <bgColor rgb="FFFFFFFF"/>
        </patternFill>
      </fill>
      <border>
        <left/>
        <right style="thin">
          <color rgb="FFF8CBAD"/>
        </right>
        <top style="thin">
          <color rgb="FFF8CBAD"/>
        </top>
        <bottom style="thin">
          <color rgb="FFF8CBAD"/>
        </bottom>
        <vertical/>
        <horizontal/>
      </border>
    </dxf>
    <dxf>
      <font>
        <b/>
        <i val="0"/>
        <u val="none"/>
        <sz val="11"/>
        <color rgb="FFF8CBAD"/>
      </font>
      <fill>
        <patternFill patternType="solid">
          <bgColor rgb="FFFFFFFF"/>
        </patternFill>
      </fill>
      <border>
        <left style="thin">
          <color rgb="FFF8CBAD"/>
        </left>
        <right/>
        <top style="thin">
          <color rgb="FFF8CBAD"/>
        </top>
        <bottom style="thin">
          <color rgb="FFF8CBAD"/>
        </bottom>
        <vertical/>
        <horizontal/>
      </border>
    </dxf>
    <dxf>
      <border>
        <left style="thin">
          <color rgb="FFF8CBAD" tint="0.59999389629810485"/>
        </left>
        <right style="thin">
          <color rgb="FFF8CBAD" tint="0.59999389629810485"/>
        </right>
        <top style="thin">
          <color rgb="FFF8CBAD"/>
        </top>
        <bottom style="thin">
          <color rgb="FFF8CBAD"/>
        </bottom>
        <vertical/>
        <horizontal style="thin">
          <color rgb="FFF8CBAD" tint="0.59999389629810485"/>
        </horizontal>
      </border>
    </dxf>
    <dxf>
      <fill>
        <patternFill patternType="solid">
          <bgColor rgb="FFF8CBAD" tint="0.89999084444715716"/>
        </patternFill>
      </fill>
      <border>
        <left style="thin">
          <color rgb="FFF8CBAD"/>
        </left>
        <right style="thin">
          <color rgb="FFF8CBAD"/>
        </right>
        <top style="thin">
          <color rgb="FFF8CBAD"/>
        </top>
        <bottom style="thin">
          <color rgb="FFF8CBAD"/>
        </bottom>
        <vertical style="thin">
          <color rgb="FFF8CBAD" tint="0.59999389629810485"/>
        </vertical>
        <horizontal style="thin">
          <color rgb="FFF8CBAD" tint="0.59999389629810485"/>
        </horizontal>
      </border>
    </dxf>
    <dxf>
      <fill>
        <patternFill patternType="solid">
          <bgColor rgb="FFF8CBAD" tint="0.89999084444715716"/>
        </patternFill>
      </fill>
    </dxf>
    <dxf>
      <font>
        <b/>
        <i val="0"/>
        <u val="none"/>
        <sz val="11"/>
        <color rgb="FF08090C"/>
      </font>
      <fill>
        <patternFill patternType="solid">
          <bgColor rgb="FFF8CBAD" tint="0.79998168889431442"/>
        </patternFill>
      </fill>
      <border>
        <left style="thin">
          <color rgb="FFF8CBAD" tint="0.59999389629810485"/>
        </left>
        <right style="thin">
          <color rgb="FFF8CBAD"/>
        </right>
        <top style="thin">
          <color rgb="FFF8CBAD"/>
        </top>
        <bottom style="thin">
          <color rgb="FFF8CBAD"/>
        </bottom>
        <vertical/>
        <horizontal style="thin">
          <color rgb="FFF8CBAD" tint="0.59999389629810485"/>
        </horizontal>
      </border>
    </dxf>
    <dxf>
      <font>
        <b/>
        <i val="0"/>
        <u val="none"/>
        <sz val="11"/>
        <color rgb="FF08090C"/>
      </font>
      <fill>
        <patternFill patternType="solid">
          <bgColor rgb="FFF8CBAD" tint="0.79998168889431442"/>
        </patternFill>
      </fill>
      <border>
        <left style="thin">
          <color rgb="FFF8CBAD"/>
        </left>
        <right style="thin">
          <color rgb="FFF8CBAD" tint="0.59999389629810485"/>
        </right>
        <top style="thin">
          <color rgb="FFF8CBAD"/>
        </top>
        <bottom style="thin">
          <color rgb="FFF8CBAD"/>
        </bottom>
        <vertical/>
        <horizontal style="thin">
          <color rgb="FFF8CBAD" tint="0.59999389629810485"/>
        </horizontal>
      </border>
    </dxf>
    <dxf>
      <font>
        <b/>
        <i val="0"/>
        <u val="none"/>
        <sz val="11"/>
        <color rgb="FFF8CBAD"/>
      </font>
      <fill>
        <patternFill patternType="solid">
          <bgColor rgb="FFFFFFFF"/>
        </patternFill>
      </fill>
      <border>
        <left style="thin">
          <color rgb="FFF8CBAD"/>
        </left>
        <right style="thin">
          <color rgb="FFF8CBAD"/>
        </right>
        <top style="thin">
          <color rgb="FFF8CBAD"/>
        </top>
        <bottom style="thin">
          <color rgb="FFF8CBAD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rgb="FFF8CBAD"/>
        </patternFill>
      </fill>
      <border>
        <left style="thin">
          <color rgb="FFF8CBAD"/>
        </left>
        <right style="thin">
          <color rgb="FFF8CBAD"/>
        </right>
        <top style="thin">
          <color rgb="FFF8CBAD"/>
        </top>
        <bottom style="thin">
          <color rgb="FFF8CBAD"/>
        </bottom>
        <vertical style="thin">
          <color rgb="FFF8CBAD" tint="0.59999389629810485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rgb="FFF8CBAD"/>
        </left>
        <right style="thin">
          <color rgb="FFF8CBAD"/>
        </right>
        <top style="thin">
          <color rgb="FFF8CBAD"/>
        </top>
        <bottom style="thin">
          <color rgb="FFF8CBAD"/>
        </bottom>
        <vertical style="thin">
          <color rgb="FFF8CBAD" tint="0.59999389629810485"/>
        </vertical>
        <horizontal style="thin">
          <color rgb="FFF8CBAD" tint="0.59999389629810485"/>
        </horizontal>
      </border>
    </dxf>
    <dxf>
      <fill>
        <patternFill patternType="solid">
          <bgColor rgb="FFF8CBAD" tint="0.89999084444715716"/>
        </patternFill>
      </fill>
      <border>
        <left/>
        <right/>
        <top style="thin">
          <color rgb="FFF8CBAD"/>
        </top>
        <bottom style="thin">
          <color rgb="FFF8CBAD"/>
        </bottom>
        <vertical/>
        <horizontal style="thin">
          <color rgb="FFF8CBAD" tint="0.59999389629810485"/>
        </horizontal>
      </border>
    </dxf>
    <dxf>
      <fill>
        <patternFill patternType="solid">
          <bgColor rgb="FFF8CBAD" tint="0.89999084444715716"/>
        </patternFill>
      </fill>
    </dxf>
    <dxf>
      <font>
        <b/>
        <i val="0"/>
        <u val="none"/>
        <sz val="11"/>
        <color rgb="FF08090C"/>
      </font>
      <fill>
        <patternFill patternType="solid">
          <bgColor rgb="FFF8CBAD" tint="0.79998168889431442"/>
        </patternFill>
      </fill>
      <border>
        <left/>
        <right/>
        <top style="thin">
          <color rgb="FFF8CBAD"/>
        </top>
        <bottom style="thin">
          <color rgb="FFF8CBAD"/>
        </bottom>
        <vertical/>
        <horizontal style="thin">
          <color rgb="FFF8CBAD" tint="0.59999389629810485"/>
        </horizontal>
      </border>
    </dxf>
    <dxf>
      <font>
        <b/>
        <i val="0"/>
        <u val="none"/>
        <sz val="11"/>
        <color rgb="FF08090C"/>
      </font>
      <fill>
        <patternFill patternType="solid">
          <bgColor rgb="FFF8CBAD" tint="0.79998168889431442"/>
        </patternFill>
      </fill>
      <border>
        <left/>
        <right/>
        <top style="thin">
          <color rgb="FFF8CBAD"/>
        </top>
        <bottom style="thin">
          <color rgb="FFF8CBAD"/>
        </bottom>
        <vertical/>
        <horizontal style="thin">
          <color rgb="FFF8CBAD" tint="0.59999389629810485"/>
        </horizontal>
      </border>
    </dxf>
    <dxf>
      <font>
        <b/>
        <i val="0"/>
        <u val="none"/>
        <sz val="11"/>
        <color rgb="FFF8CBAD"/>
      </font>
      <fill>
        <patternFill patternType="solid">
          <bgColor rgb="FFFFFFFF"/>
        </patternFill>
      </fill>
      <border>
        <left/>
        <right/>
        <top style="thin">
          <color rgb="FFF8CBAD"/>
        </top>
        <bottom style="thin">
          <color rgb="FFF8CBAD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rgb="FFF8CBAD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rgb="FFF8CBAD"/>
        </top>
        <bottom style="thin">
          <color rgb="FFF8CBAD"/>
        </bottom>
        <vertical/>
        <horizontal style="thin">
          <color rgb="FFF8CBAD" tint="0.59999389629810485"/>
        </horizontal>
      </border>
    </dxf>
    <dxf>
      <fill>
        <patternFill patternType="solid">
          <bgColor rgb="FFF8CBAD" tint="0.89999084444715716"/>
        </patternFill>
      </fill>
      <border>
        <left/>
        <right/>
        <top/>
        <bottom/>
        <vertical/>
        <horizontal/>
      </border>
    </dxf>
    <dxf>
      <fill>
        <patternFill patternType="solid">
          <bgColor rgb="FFF8CBAD" tint="0.89999084444715716"/>
        </patternFill>
      </fill>
    </dxf>
    <dxf>
      <font>
        <b/>
        <i val="0"/>
        <u val="none"/>
        <sz val="11"/>
        <color rgb="FF08090C"/>
      </font>
      <fill>
        <patternFill patternType="solid">
          <bgColor rgb="FFF8CBAD" tint="0.79998168889431442"/>
        </patternFill>
      </fill>
      <border>
        <left/>
        <right/>
        <top/>
        <bottom/>
        <vertical/>
        <horizontal/>
      </border>
    </dxf>
    <dxf>
      <font>
        <b/>
        <i val="0"/>
        <u val="none"/>
        <sz val="11"/>
        <color rgb="FF08090C"/>
      </font>
      <fill>
        <patternFill patternType="solid">
          <bgColor rgb="FFF8CBAD" tint="0.79998168889431442"/>
        </patternFill>
      </fill>
      <border>
        <left/>
        <right/>
        <top/>
        <bottom/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rgb="FFF8CBAD"/>
        </patternFill>
      </fill>
      <border>
        <left/>
        <right/>
        <top style="thin">
          <color rgb="FFF8CBAD"/>
        </top>
        <bottom style="thin">
          <color rgb="FFF8CBAD"/>
        </bottom>
        <vertical/>
        <horizontal/>
      </border>
    </dxf>
    <dxf>
      <font>
        <b/>
        <i val="0"/>
        <u val="none"/>
        <sz val="11"/>
        <color rgb="FFFFFFFF"/>
      </font>
      <fill>
        <patternFill patternType="solid">
          <bgColor rgb="FFF8CBAD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rgb="FFF8CBAD"/>
        </top>
        <bottom style="thin">
          <color rgb="FFF8CBAD"/>
        </bottom>
        <vertical/>
        <horizontal/>
      </border>
    </dxf>
  </dxfs>
  <tableStyles count="3" defaultTableStyle="TableStyleMedium2" defaultPivotStyle="PivotStyleLight16">
    <tableStyle name="中色系标题行镶边行表格样式_f85a07" count="7" xr9:uid="{57AA5479-BCD9-40B4-A3CD-6C7EC9298F4F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secondRowStripe" dxfId="18"/>
      <tableStyleElement type="firstColumnStripe" dxfId="17"/>
    </tableStyle>
    <tableStyle name="中色系标题行表格样式_d2e0ac" count="7" xr9:uid="{9232325B-9097-4330-8A27-F25DEC91CB0C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secondRowStripe" dxfId="11"/>
      <tableStyleElement type="firstColumnStripe" dxfId="10"/>
    </tableStyle>
    <tableStyle name="中色系标题行表格样式_7a9bf5" count="10" xr9:uid="{5898EECC-3D62-43B0-9765-9822CBFC31C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secondRowStripe" dxfId="4"/>
      <tableStyleElement type="firstColumnStripe" dxfId="3"/>
      <tableStyleElement type="secondColumnStripe" dxfId="2"/>
      <tableStyleElement type="firstTotalCell" dxfId="1"/>
      <tableStyleElement type="lastTotalCell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www.wps.cn/officeDocument/2021/sharedlinks" Target="NUL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workbookViewId="0">
      <selection activeCell="E5" sqref="E5"/>
    </sheetView>
  </sheetViews>
  <sheetFormatPr baseColWidth="10" defaultColWidth="9" defaultRowHeight="15"/>
  <cols>
    <col min="1" max="1" width="15" customWidth="1"/>
    <col min="3" max="3" width="32" customWidth="1"/>
    <col min="4" max="4" width="9.1640625" customWidth="1"/>
    <col min="5" max="5" width="17.1640625" customWidth="1"/>
    <col min="6" max="6" width="11" customWidth="1"/>
    <col min="7" max="7" width="23.33203125" customWidth="1"/>
    <col min="8" max="8" width="12.6640625" style="154" customWidth="1"/>
    <col min="9" max="9" width="11" customWidth="1"/>
    <col min="10" max="10" width="43.83203125" customWidth="1"/>
  </cols>
  <sheetData>
    <row r="1" spans="1:8" ht="25" customHeight="1">
      <c r="A1" s="212" t="s">
        <v>461</v>
      </c>
      <c r="B1" s="213"/>
      <c r="C1" s="213"/>
      <c r="D1" s="213"/>
      <c r="E1" s="213"/>
      <c r="F1" s="213"/>
      <c r="G1" s="213"/>
      <c r="H1" s="213"/>
    </row>
    <row r="3" spans="1:8" ht="21" customHeight="1">
      <c r="A3" s="214" t="s">
        <v>0</v>
      </c>
      <c r="B3" s="214"/>
      <c r="C3" s="214"/>
      <c r="D3" s="214"/>
      <c r="E3" s="214"/>
      <c r="F3" s="214"/>
      <c r="G3" s="214"/>
      <c r="H3" s="214"/>
    </row>
    <row r="4" spans="1:8" ht="48">
      <c r="A4" s="155" t="s">
        <v>1</v>
      </c>
      <c r="B4" s="156" t="s">
        <v>2</v>
      </c>
      <c r="C4" s="156" t="s">
        <v>3</v>
      </c>
      <c r="D4" s="156" t="s">
        <v>4</v>
      </c>
      <c r="E4" s="157" t="s">
        <v>5</v>
      </c>
      <c r="F4" s="156" t="s">
        <v>6</v>
      </c>
      <c r="G4" s="158" t="s">
        <v>7</v>
      </c>
      <c r="H4" s="159" t="s">
        <v>8</v>
      </c>
    </row>
    <row r="5" spans="1:8">
      <c r="A5" s="160" t="s">
        <v>9</v>
      </c>
      <c r="B5" s="161" t="s">
        <v>10</v>
      </c>
      <c r="C5" s="161" t="s">
        <v>11</v>
      </c>
      <c r="D5" s="161" t="s">
        <v>12</v>
      </c>
      <c r="E5" s="161" t="s">
        <v>13</v>
      </c>
      <c r="F5" s="161" t="s">
        <v>14</v>
      </c>
      <c r="G5" s="161" t="s">
        <v>14</v>
      </c>
      <c r="H5" s="162" t="s">
        <v>14</v>
      </c>
    </row>
    <row r="6" spans="1:8">
      <c r="A6" s="163" t="s">
        <v>9</v>
      </c>
      <c r="B6" s="164" t="s">
        <v>15</v>
      </c>
      <c r="C6" s="164" t="s">
        <v>16</v>
      </c>
      <c r="D6" s="164" t="s">
        <v>17</v>
      </c>
      <c r="E6" s="165" t="s">
        <v>18</v>
      </c>
      <c r="F6" s="164">
        <v>60000</v>
      </c>
      <c r="G6" s="164" t="s">
        <v>14</v>
      </c>
      <c r="H6" s="166" t="s">
        <v>14</v>
      </c>
    </row>
    <row r="7" spans="1:8">
      <c r="A7" s="160" t="s">
        <v>9</v>
      </c>
      <c r="B7" s="161" t="s">
        <v>19</v>
      </c>
      <c r="C7" s="161" t="s">
        <v>20</v>
      </c>
      <c r="D7" s="161" t="s">
        <v>21</v>
      </c>
      <c r="E7" s="167" t="s">
        <v>22</v>
      </c>
      <c r="F7" s="161">
        <v>30000</v>
      </c>
      <c r="G7" s="161" t="s">
        <v>23</v>
      </c>
      <c r="H7" s="168" t="s">
        <v>24</v>
      </c>
    </row>
    <row r="8" spans="1:8">
      <c r="A8" s="163" t="s">
        <v>9</v>
      </c>
      <c r="B8" s="164" t="s">
        <v>25</v>
      </c>
      <c r="C8" s="164" t="s">
        <v>26</v>
      </c>
      <c r="D8" s="164" t="s">
        <v>27</v>
      </c>
      <c r="E8" s="165" t="s">
        <v>28</v>
      </c>
      <c r="F8" s="164">
        <v>20000</v>
      </c>
      <c r="G8" s="164" t="s">
        <v>29</v>
      </c>
      <c r="H8" s="169" t="s">
        <v>30</v>
      </c>
    </row>
    <row r="9" spans="1:8">
      <c r="A9" s="160" t="s">
        <v>9</v>
      </c>
      <c r="B9" s="161" t="s">
        <v>31</v>
      </c>
      <c r="C9" s="161" t="s">
        <v>32</v>
      </c>
      <c r="D9" s="161" t="s">
        <v>33</v>
      </c>
      <c r="E9" s="167" t="s">
        <v>34</v>
      </c>
      <c r="F9" s="161">
        <v>15000</v>
      </c>
      <c r="G9" s="161" t="s">
        <v>35</v>
      </c>
      <c r="H9" s="168" t="s">
        <v>36</v>
      </c>
    </row>
    <row r="10" spans="1:8">
      <c r="A10" s="163" t="s">
        <v>9</v>
      </c>
      <c r="B10" s="164" t="s">
        <v>37</v>
      </c>
      <c r="C10" s="164" t="s">
        <v>38</v>
      </c>
      <c r="D10" s="164" t="s">
        <v>39</v>
      </c>
      <c r="E10" s="165" t="s">
        <v>40</v>
      </c>
      <c r="F10" s="164">
        <v>15000</v>
      </c>
      <c r="G10" s="164" t="s">
        <v>41</v>
      </c>
      <c r="H10" s="169" t="s">
        <v>42</v>
      </c>
    </row>
    <row r="11" spans="1:8">
      <c r="A11" s="160" t="s">
        <v>9</v>
      </c>
      <c r="B11" s="161" t="s">
        <v>43</v>
      </c>
      <c r="C11" s="161" t="s">
        <v>44</v>
      </c>
      <c r="D11" s="161" t="s">
        <v>45</v>
      </c>
      <c r="E11" s="167" t="s">
        <v>46</v>
      </c>
      <c r="F11" s="161">
        <v>10000</v>
      </c>
      <c r="G11" s="161" t="s">
        <v>47</v>
      </c>
      <c r="H11" s="162" t="s">
        <v>48</v>
      </c>
    </row>
    <row r="12" spans="1:8">
      <c r="A12" s="163" t="s">
        <v>9</v>
      </c>
      <c r="B12" s="164" t="s">
        <v>49</v>
      </c>
      <c r="C12" s="164" t="s">
        <v>50</v>
      </c>
      <c r="D12" s="164" t="s">
        <v>51</v>
      </c>
      <c r="E12" s="165" t="s">
        <v>52</v>
      </c>
      <c r="F12" s="164">
        <v>10000</v>
      </c>
      <c r="G12" s="164" t="s">
        <v>53</v>
      </c>
      <c r="H12" s="166" t="s">
        <v>54</v>
      </c>
    </row>
    <row r="13" spans="1:8">
      <c r="A13" s="170" t="s">
        <v>9</v>
      </c>
      <c r="B13" s="171" t="s">
        <v>55</v>
      </c>
      <c r="C13" s="171" t="s">
        <v>56</v>
      </c>
      <c r="D13" s="172" t="s">
        <v>57</v>
      </c>
      <c r="E13" s="173" t="s">
        <v>58</v>
      </c>
      <c r="F13" s="171">
        <v>10000</v>
      </c>
      <c r="G13" s="171" t="s">
        <v>59</v>
      </c>
      <c r="H13" s="174" t="s">
        <v>60</v>
      </c>
    </row>
    <row r="15" spans="1:8" ht="27" customHeight="1">
      <c r="A15" s="215" t="s">
        <v>61</v>
      </c>
      <c r="B15" s="215"/>
      <c r="C15" s="215"/>
      <c r="D15" s="215"/>
      <c r="E15" s="215"/>
      <c r="F15" s="215"/>
      <c r="G15" s="215"/>
      <c r="H15" s="215"/>
    </row>
    <row r="16" spans="1:8" ht="48">
      <c r="A16" s="175" t="s">
        <v>1</v>
      </c>
      <c r="B16" s="176" t="s">
        <v>2</v>
      </c>
      <c r="C16" s="176" t="s">
        <v>3</v>
      </c>
      <c r="D16" s="176" t="s">
        <v>62</v>
      </c>
      <c r="E16" s="177" t="s">
        <v>5</v>
      </c>
      <c r="F16" s="176" t="s">
        <v>6</v>
      </c>
      <c r="G16" s="178" t="s">
        <v>7</v>
      </c>
      <c r="H16" s="179" t="s">
        <v>8</v>
      </c>
    </row>
    <row r="17" spans="1:8">
      <c r="A17" s="180" t="s">
        <v>63</v>
      </c>
      <c r="B17" s="181" t="s">
        <v>64</v>
      </c>
      <c r="C17" s="181" t="s">
        <v>65</v>
      </c>
      <c r="D17" s="181" t="s">
        <v>12</v>
      </c>
      <c r="E17" s="181" t="s">
        <v>13</v>
      </c>
      <c r="F17" s="181" t="s">
        <v>14</v>
      </c>
      <c r="G17" s="181" t="s">
        <v>14</v>
      </c>
      <c r="H17" s="182" t="s">
        <v>14</v>
      </c>
    </row>
    <row r="18" spans="1:8">
      <c r="A18" s="183" t="s">
        <v>63</v>
      </c>
      <c r="B18" s="184" t="s">
        <v>66</v>
      </c>
      <c r="C18" s="184" t="s">
        <v>67</v>
      </c>
      <c r="D18" s="184" t="s">
        <v>17</v>
      </c>
      <c r="E18" s="185" t="s">
        <v>18</v>
      </c>
      <c r="F18" s="184">
        <v>60000</v>
      </c>
      <c r="G18" s="184" t="s">
        <v>14</v>
      </c>
      <c r="H18" s="186" t="s">
        <v>14</v>
      </c>
    </row>
    <row r="19" spans="1:8">
      <c r="A19" s="180" t="s">
        <v>63</v>
      </c>
      <c r="B19" s="181" t="s">
        <v>68</v>
      </c>
      <c r="C19" s="181" t="s">
        <v>69</v>
      </c>
      <c r="D19" s="181" t="s">
        <v>21</v>
      </c>
      <c r="E19" s="187" t="s">
        <v>22</v>
      </c>
      <c r="F19" s="181">
        <v>30000</v>
      </c>
      <c r="G19" s="181" t="s">
        <v>23</v>
      </c>
      <c r="H19" s="182" t="s">
        <v>70</v>
      </c>
    </row>
    <row r="20" spans="1:8">
      <c r="A20" s="183" t="s">
        <v>63</v>
      </c>
      <c r="B20" s="184" t="s">
        <v>71</v>
      </c>
      <c r="C20" s="184" t="s">
        <v>72</v>
      </c>
      <c r="D20" s="184" t="s">
        <v>27</v>
      </c>
      <c r="E20" s="185" t="s">
        <v>28</v>
      </c>
      <c r="F20" s="184">
        <v>20000</v>
      </c>
      <c r="G20" s="184" t="s">
        <v>29</v>
      </c>
      <c r="H20" s="186" t="s">
        <v>73</v>
      </c>
    </row>
    <row r="21" spans="1:8">
      <c r="A21" s="180" t="s">
        <v>63</v>
      </c>
      <c r="B21" s="181" t="s">
        <v>74</v>
      </c>
      <c r="C21" s="181" t="s">
        <v>75</v>
      </c>
      <c r="D21" s="181" t="s">
        <v>76</v>
      </c>
      <c r="E21" s="187" t="s">
        <v>77</v>
      </c>
      <c r="F21" s="181">
        <v>20000</v>
      </c>
      <c r="G21" s="181" t="s">
        <v>78</v>
      </c>
      <c r="H21" s="182" t="s">
        <v>79</v>
      </c>
    </row>
    <row r="22" spans="1:8">
      <c r="A22" s="183" t="s">
        <v>63</v>
      </c>
      <c r="B22" s="184" t="s">
        <v>80</v>
      </c>
      <c r="C22" s="184" t="s">
        <v>81</v>
      </c>
      <c r="D22" s="184" t="s">
        <v>39</v>
      </c>
      <c r="E22" s="185" t="s">
        <v>40</v>
      </c>
      <c r="F22" s="184">
        <v>15000</v>
      </c>
      <c r="G22" s="184" t="s">
        <v>47</v>
      </c>
      <c r="H22" s="186" t="s">
        <v>82</v>
      </c>
    </row>
    <row r="23" spans="1:8">
      <c r="A23" s="180" t="s">
        <v>63</v>
      </c>
      <c r="B23" s="181" t="s">
        <v>83</v>
      </c>
      <c r="C23" s="181" t="s">
        <v>84</v>
      </c>
      <c r="D23" s="181" t="s">
        <v>45</v>
      </c>
      <c r="E23" s="187" t="s">
        <v>46</v>
      </c>
      <c r="F23" s="181">
        <v>10000</v>
      </c>
      <c r="G23" s="181" t="s">
        <v>53</v>
      </c>
      <c r="H23" s="182" t="s">
        <v>73</v>
      </c>
    </row>
    <row r="24" spans="1:8">
      <c r="A24" s="183" t="s">
        <v>63</v>
      </c>
      <c r="B24" s="184" t="s">
        <v>85</v>
      </c>
      <c r="C24" s="184" t="s">
        <v>86</v>
      </c>
      <c r="D24" s="184" t="s">
        <v>51</v>
      </c>
      <c r="E24" s="185" t="s">
        <v>52</v>
      </c>
      <c r="F24" s="184">
        <v>10000</v>
      </c>
      <c r="G24" s="184" t="s">
        <v>53</v>
      </c>
      <c r="H24" s="186" t="s">
        <v>54</v>
      </c>
    </row>
    <row r="25" spans="1:8">
      <c r="A25" s="188" t="s">
        <v>63</v>
      </c>
      <c r="B25" s="189" t="s">
        <v>87</v>
      </c>
      <c r="C25" s="189" t="s">
        <v>56</v>
      </c>
      <c r="D25" s="190" t="s">
        <v>57</v>
      </c>
      <c r="E25" s="191" t="s">
        <v>58</v>
      </c>
      <c r="F25" s="189">
        <v>10000</v>
      </c>
      <c r="G25" s="189" t="s">
        <v>59</v>
      </c>
      <c r="H25" s="192" t="s">
        <v>60</v>
      </c>
    </row>
    <row r="27" spans="1:8" ht="26" customHeight="1">
      <c r="A27" s="216" t="s">
        <v>88</v>
      </c>
      <c r="B27" s="216"/>
      <c r="C27" s="216"/>
      <c r="D27" s="216"/>
      <c r="E27" s="216"/>
      <c r="F27" s="216"/>
      <c r="G27" s="216"/>
      <c r="H27" s="193"/>
    </row>
    <row r="28" spans="1:8" ht="48">
      <c r="A28" s="194" t="s">
        <v>1</v>
      </c>
      <c r="B28" s="195" t="s">
        <v>2</v>
      </c>
      <c r="C28" s="195" t="s">
        <v>3</v>
      </c>
      <c r="D28" s="195" t="s">
        <v>4</v>
      </c>
      <c r="E28" s="196" t="s">
        <v>5</v>
      </c>
      <c r="F28" s="195" t="s">
        <v>6</v>
      </c>
      <c r="G28" s="197" t="s">
        <v>7</v>
      </c>
      <c r="H28" s="198" t="s">
        <v>8</v>
      </c>
    </row>
    <row r="29" spans="1:8">
      <c r="A29" s="199" t="s">
        <v>89</v>
      </c>
      <c r="B29" s="200" t="s">
        <v>90</v>
      </c>
      <c r="C29" s="200" t="s">
        <v>91</v>
      </c>
      <c r="D29" s="200" t="s">
        <v>12</v>
      </c>
      <c r="E29" s="200" t="s">
        <v>13</v>
      </c>
      <c r="F29" s="200" t="s">
        <v>14</v>
      </c>
      <c r="G29" s="200" t="s">
        <v>14</v>
      </c>
      <c r="H29" s="201" t="s">
        <v>14</v>
      </c>
    </row>
    <row r="30" spans="1:8">
      <c r="A30" s="202" t="s">
        <v>89</v>
      </c>
      <c r="B30" s="203" t="s">
        <v>92</v>
      </c>
      <c r="C30" s="203" t="s">
        <v>93</v>
      </c>
      <c r="D30" s="203" t="s">
        <v>94</v>
      </c>
      <c r="E30" s="204" t="s">
        <v>95</v>
      </c>
      <c r="F30" s="203">
        <v>50000</v>
      </c>
      <c r="G30" s="203" t="s">
        <v>14</v>
      </c>
      <c r="H30" s="205" t="s">
        <v>14</v>
      </c>
    </row>
    <row r="31" spans="1:8">
      <c r="A31" s="199" t="s">
        <v>89</v>
      </c>
      <c r="B31" s="200" t="s">
        <v>96</v>
      </c>
      <c r="C31" s="200" t="s">
        <v>97</v>
      </c>
      <c r="D31" s="200" t="s">
        <v>98</v>
      </c>
      <c r="E31" s="206" t="s">
        <v>99</v>
      </c>
      <c r="F31" s="200">
        <v>20000</v>
      </c>
      <c r="G31" s="200" t="s">
        <v>23</v>
      </c>
      <c r="H31" s="201" t="s">
        <v>100</v>
      </c>
    </row>
    <row r="32" spans="1:8">
      <c r="A32" s="202" t="s">
        <v>89</v>
      </c>
      <c r="B32" s="203" t="s">
        <v>101</v>
      </c>
      <c r="C32" s="203" t="s">
        <v>102</v>
      </c>
      <c r="D32" s="203" t="s">
        <v>103</v>
      </c>
      <c r="E32" s="204" t="s">
        <v>104</v>
      </c>
      <c r="F32" s="203">
        <v>20000</v>
      </c>
      <c r="G32" s="203" t="s">
        <v>29</v>
      </c>
      <c r="H32" s="205" t="s">
        <v>70</v>
      </c>
    </row>
    <row r="33" spans="1:8">
      <c r="A33" s="199" t="s">
        <v>89</v>
      </c>
      <c r="B33" s="200" t="s">
        <v>105</v>
      </c>
      <c r="C33" s="200" t="s">
        <v>106</v>
      </c>
      <c r="D33" s="200" t="s">
        <v>76</v>
      </c>
      <c r="E33" s="206" t="s">
        <v>107</v>
      </c>
      <c r="F33" s="200">
        <v>20000</v>
      </c>
      <c r="G33" s="200" t="s">
        <v>78</v>
      </c>
      <c r="H33" s="201" t="s">
        <v>108</v>
      </c>
    </row>
    <row r="34" spans="1:8">
      <c r="A34" s="202" t="s">
        <v>89</v>
      </c>
      <c r="B34" s="203" t="s">
        <v>109</v>
      </c>
      <c r="C34" s="203" t="s">
        <v>110</v>
      </c>
      <c r="D34" s="203" t="s">
        <v>39</v>
      </c>
      <c r="E34" s="204" t="s">
        <v>111</v>
      </c>
      <c r="F34" s="203">
        <v>15000</v>
      </c>
      <c r="G34" s="203" t="s">
        <v>47</v>
      </c>
      <c r="H34" s="205" t="s">
        <v>112</v>
      </c>
    </row>
    <row r="35" spans="1:8">
      <c r="A35" s="199" t="s">
        <v>89</v>
      </c>
      <c r="B35" s="200" t="s">
        <v>113</v>
      </c>
      <c r="C35" s="200" t="s">
        <v>114</v>
      </c>
      <c r="D35" s="200" t="s">
        <v>115</v>
      </c>
      <c r="E35" s="206" t="s">
        <v>46</v>
      </c>
      <c r="F35" s="200">
        <v>15000</v>
      </c>
      <c r="G35" s="200" t="s">
        <v>53</v>
      </c>
      <c r="H35" s="201" t="s">
        <v>116</v>
      </c>
    </row>
    <row r="36" spans="1:8">
      <c r="A36" s="202" t="s">
        <v>89</v>
      </c>
      <c r="B36" s="203" t="s">
        <v>117</v>
      </c>
      <c r="C36" s="203" t="s">
        <v>118</v>
      </c>
      <c r="D36" s="203" t="s">
        <v>119</v>
      </c>
      <c r="E36" s="204" t="s">
        <v>52</v>
      </c>
      <c r="F36" s="203">
        <v>5000</v>
      </c>
      <c r="G36" s="203" t="s">
        <v>53</v>
      </c>
      <c r="H36" s="205">
        <v>0</v>
      </c>
    </row>
    <row r="37" spans="1:8">
      <c r="A37" s="207" t="s">
        <v>89</v>
      </c>
      <c r="B37" s="208" t="s">
        <v>120</v>
      </c>
      <c r="C37" s="208" t="s">
        <v>121</v>
      </c>
      <c r="D37" s="209" t="s">
        <v>122</v>
      </c>
      <c r="E37" s="210" t="s">
        <v>123</v>
      </c>
      <c r="F37" s="208">
        <v>5000</v>
      </c>
      <c r="G37" s="208" t="s">
        <v>59</v>
      </c>
      <c r="H37" s="211">
        <v>0</v>
      </c>
    </row>
    <row r="38" spans="1:8" ht="53" customHeight="1"/>
  </sheetData>
  <mergeCells count="4">
    <mergeCell ref="A1:H1"/>
    <mergeCell ref="A3:H3"/>
    <mergeCell ref="A15:H15"/>
    <mergeCell ref="A27:G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2"/>
  <sheetViews>
    <sheetView workbookViewId="0">
      <selection activeCell="Y22" sqref="Y22"/>
    </sheetView>
  </sheetViews>
  <sheetFormatPr baseColWidth="10" defaultColWidth="9" defaultRowHeight="15"/>
  <cols>
    <col min="2" max="2" width="11.33203125" customWidth="1"/>
    <col min="3" max="3" width="13.83203125" customWidth="1"/>
    <col min="4" max="4" width="16.5" customWidth="1"/>
    <col min="5" max="5" width="17.33203125" customWidth="1"/>
    <col min="6" max="6" width="32.1640625" customWidth="1"/>
    <col min="7" max="7" width="33.5" customWidth="1"/>
    <col min="8" max="8" width="22.33203125" customWidth="1"/>
    <col min="9" max="9" width="12.5" customWidth="1"/>
    <col min="10" max="10" width="14" customWidth="1"/>
    <col min="11" max="11" width="11.6640625" customWidth="1"/>
    <col min="13" max="13" width="15.33203125" customWidth="1"/>
    <col min="14" max="14" width="10.1640625" customWidth="1"/>
    <col min="15" max="15" width="10" customWidth="1"/>
    <col min="16" max="16" width="12.6640625" customWidth="1"/>
    <col min="18" max="18" width="19.6640625" customWidth="1"/>
    <col min="19" max="19" width="11.1640625" customWidth="1"/>
    <col min="20" max="20" width="11.5" customWidth="1"/>
    <col min="21" max="21" width="13.83203125" customWidth="1"/>
    <col min="23" max="23" width="16.5" customWidth="1"/>
    <col min="24" max="24" width="10.33203125" customWidth="1"/>
    <col min="25" max="25" width="10.6640625" customWidth="1"/>
  </cols>
  <sheetData>
    <row r="1" spans="1:25" ht="34" customHeight="1">
      <c r="A1" s="217" t="s">
        <v>124</v>
      </c>
      <c r="B1" s="218"/>
      <c r="C1" s="218"/>
      <c r="D1" s="218"/>
      <c r="E1" s="218"/>
      <c r="F1" s="218"/>
      <c r="G1" s="218"/>
      <c r="H1" s="218"/>
      <c r="I1" s="218"/>
      <c r="J1" s="218"/>
      <c r="K1" s="219" t="s">
        <v>125</v>
      </c>
      <c r="L1" s="219"/>
      <c r="M1" s="219"/>
      <c r="N1" s="219"/>
      <c r="O1" s="219"/>
      <c r="P1" s="219"/>
      <c r="Q1" s="219"/>
      <c r="R1" s="219"/>
      <c r="S1" s="219"/>
      <c r="T1" s="219"/>
      <c r="U1" s="219"/>
      <c r="V1" s="219"/>
      <c r="W1" s="219"/>
      <c r="X1" s="219"/>
      <c r="Y1" s="219"/>
    </row>
    <row r="2" spans="1:25" ht="43" customHeight="1">
      <c r="A2" s="79" t="s">
        <v>126</v>
      </c>
      <c r="B2" s="79" t="s">
        <v>127</v>
      </c>
      <c r="C2" s="49" t="s">
        <v>128</v>
      </c>
      <c r="D2" s="50" t="s">
        <v>129</v>
      </c>
      <c r="E2" s="50" t="s">
        <v>130</v>
      </c>
      <c r="F2" s="80" t="s">
        <v>131</v>
      </c>
      <c r="G2" s="80" t="s">
        <v>132</v>
      </c>
      <c r="H2" s="81" t="s">
        <v>133</v>
      </c>
      <c r="I2" s="95" t="s">
        <v>134</v>
      </c>
      <c r="J2" s="96" t="s">
        <v>135</v>
      </c>
      <c r="K2" s="220" t="s">
        <v>136</v>
      </c>
      <c r="L2" s="221"/>
      <c r="M2" s="221"/>
      <c r="N2" s="221"/>
      <c r="O2" s="222"/>
      <c r="P2" s="223" t="s">
        <v>137</v>
      </c>
      <c r="Q2" s="224"/>
      <c r="R2" s="224"/>
      <c r="S2" s="224"/>
      <c r="T2" s="225"/>
      <c r="U2" s="226" t="s">
        <v>138</v>
      </c>
      <c r="V2" s="227"/>
      <c r="W2" s="227"/>
      <c r="X2" s="227"/>
      <c r="Y2" s="228"/>
    </row>
    <row r="3" spans="1:25" ht="33" customHeight="1">
      <c r="A3" s="240" t="s">
        <v>139</v>
      </c>
      <c r="B3" s="58" t="s">
        <v>140</v>
      </c>
      <c r="C3" s="53" t="s">
        <v>141</v>
      </c>
      <c r="D3" s="54" t="s">
        <v>142</v>
      </c>
      <c r="E3" s="82">
        <v>27000</v>
      </c>
      <c r="F3" s="83" t="s">
        <v>143</v>
      </c>
      <c r="G3" s="83" t="s">
        <v>144</v>
      </c>
      <c r="H3" s="82">
        <v>35000</v>
      </c>
      <c r="I3" s="97">
        <f>(E3-H3)/H3*100%</f>
        <v>-0.22857142857142901</v>
      </c>
      <c r="J3" s="98">
        <f>10000*35%+E3</f>
        <v>30500</v>
      </c>
      <c r="K3" s="99" t="s">
        <v>145</v>
      </c>
      <c r="L3" s="100" t="s">
        <v>3</v>
      </c>
      <c r="M3" s="100" t="s">
        <v>146</v>
      </c>
      <c r="N3" s="101" t="s">
        <v>147</v>
      </c>
      <c r="O3" s="102" t="s">
        <v>148</v>
      </c>
      <c r="P3" s="103" t="s">
        <v>149</v>
      </c>
      <c r="Q3" s="126" t="s">
        <v>3</v>
      </c>
      <c r="R3" s="126" t="s">
        <v>146</v>
      </c>
      <c r="S3" s="127" t="s">
        <v>147</v>
      </c>
      <c r="T3" s="128" t="s">
        <v>148</v>
      </c>
      <c r="U3" s="129" t="s">
        <v>150</v>
      </c>
      <c r="V3" s="130" t="s">
        <v>3</v>
      </c>
      <c r="W3" s="130" t="s">
        <v>146</v>
      </c>
      <c r="X3" s="131" t="s">
        <v>147</v>
      </c>
      <c r="Y3" s="150" t="s">
        <v>148</v>
      </c>
    </row>
    <row r="4" spans="1:25" ht="22" customHeight="1">
      <c r="A4" s="241"/>
      <c r="B4" s="54" t="s">
        <v>151</v>
      </c>
      <c r="C4" s="57" t="s">
        <v>141</v>
      </c>
      <c r="D4" s="58" t="s">
        <v>152</v>
      </c>
      <c r="E4" s="84">
        <v>20000</v>
      </c>
      <c r="F4" s="85" t="s">
        <v>153</v>
      </c>
      <c r="G4" s="85" t="s">
        <v>154</v>
      </c>
      <c r="H4" s="84">
        <v>30000</v>
      </c>
      <c r="I4" s="104">
        <f t="shared" ref="I4:I9" si="0">(E4-H4)/H4*100%</f>
        <v>-0.33333333333333298</v>
      </c>
      <c r="J4" s="98">
        <f>10000*35%+E4</f>
        <v>23500</v>
      </c>
      <c r="K4" s="245" t="s">
        <v>155</v>
      </c>
      <c r="L4" s="106" t="s">
        <v>15</v>
      </c>
      <c r="M4" s="25" t="s">
        <v>156</v>
      </c>
      <c r="N4" s="107">
        <v>0.25</v>
      </c>
      <c r="O4" s="108">
        <v>0.5</v>
      </c>
      <c r="P4" s="109" t="s">
        <v>157</v>
      </c>
      <c r="Q4" s="132" t="s">
        <v>66</v>
      </c>
      <c r="R4" s="133" t="s">
        <v>67</v>
      </c>
      <c r="S4" s="134">
        <v>0.25</v>
      </c>
      <c r="T4" s="135">
        <v>0.5</v>
      </c>
      <c r="U4" s="248" t="s">
        <v>158</v>
      </c>
      <c r="V4" s="137" t="s">
        <v>92</v>
      </c>
      <c r="W4" s="137" t="s">
        <v>159</v>
      </c>
      <c r="X4" s="138">
        <v>0.25</v>
      </c>
      <c r="Y4" s="151">
        <v>0.5</v>
      </c>
    </row>
    <row r="5" spans="1:25" ht="21" customHeight="1">
      <c r="A5" s="241"/>
      <c r="B5" s="58" t="s">
        <v>160</v>
      </c>
      <c r="C5" s="53" t="s">
        <v>161</v>
      </c>
      <c r="D5" s="54" t="s">
        <v>162</v>
      </c>
      <c r="E5" s="82">
        <v>20000</v>
      </c>
      <c r="F5" s="83" t="s">
        <v>153</v>
      </c>
      <c r="G5" s="83" t="s">
        <v>154</v>
      </c>
      <c r="H5" s="82">
        <v>42000</v>
      </c>
      <c r="I5" s="97">
        <f t="shared" si="0"/>
        <v>-0.52380952380952395</v>
      </c>
      <c r="J5" s="98">
        <f>10000*35%+E5</f>
        <v>23500</v>
      </c>
      <c r="K5" s="245"/>
      <c r="L5" s="100" t="s">
        <v>15</v>
      </c>
      <c r="M5" s="100" t="s">
        <v>163</v>
      </c>
      <c r="N5" s="110">
        <v>0.25</v>
      </c>
      <c r="O5" s="111">
        <v>0.5</v>
      </c>
      <c r="P5" s="103" t="s">
        <v>164</v>
      </c>
      <c r="Q5" s="139" t="s">
        <v>68</v>
      </c>
      <c r="R5" s="126" t="s">
        <v>69</v>
      </c>
      <c r="S5" s="140">
        <v>0.2</v>
      </c>
      <c r="T5" s="141">
        <v>0.4</v>
      </c>
      <c r="U5" s="248"/>
      <c r="V5" s="130" t="s">
        <v>96</v>
      </c>
      <c r="W5" s="130" t="s">
        <v>97</v>
      </c>
      <c r="X5" s="142">
        <v>0.25</v>
      </c>
      <c r="Y5" s="152">
        <v>0.5</v>
      </c>
    </row>
    <row r="6" spans="1:25" ht="18" customHeight="1">
      <c r="A6" s="241"/>
      <c r="B6" s="54" t="s">
        <v>165</v>
      </c>
      <c r="C6" s="57" t="s">
        <v>166</v>
      </c>
      <c r="D6" s="58" t="s">
        <v>167</v>
      </c>
      <c r="E6" s="84">
        <v>19000</v>
      </c>
      <c r="F6" s="85" t="s">
        <v>168</v>
      </c>
      <c r="G6" s="85" t="s">
        <v>169</v>
      </c>
      <c r="H6" s="84">
        <v>30000</v>
      </c>
      <c r="I6" s="104">
        <f t="shared" si="0"/>
        <v>-0.36666666666666697</v>
      </c>
      <c r="J6" s="98">
        <f t="shared" ref="J6:J12" si="1">E6*35%+E6</f>
        <v>25650</v>
      </c>
      <c r="K6" s="245"/>
      <c r="L6" s="106" t="s">
        <v>19</v>
      </c>
      <c r="M6" s="106" t="s">
        <v>170</v>
      </c>
      <c r="N6" s="107">
        <v>0.2</v>
      </c>
      <c r="O6" s="108">
        <v>0.4</v>
      </c>
      <c r="P6" s="109" t="s">
        <v>171</v>
      </c>
      <c r="Q6" s="132" t="s">
        <v>71</v>
      </c>
      <c r="R6" s="133" t="s">
        <v>72</v>
      </c>
      <c r="S6" s="134">
        <v>0.2</v>
      </c>
      <c r="T6" s="135">
        <v>0.4</v>
      </c>
      <c r="U6" s="248"/>
      <c r="V6" s="137" t="s">
        <v>101</v>
      </c>
      <c r="W6" s="137" t="s">
        <v>102</v>
      </c>
      <c r="X6" s="138">
        <v>0.2</v>
      </c>
      <c r="Y6" s="151">
        <v>0.4</v>
      </c>
    </row>
    <row r="7" spans="1:25" ht="19" customHeight="1">
      <c r="A7" s="241"/>
      <c r="B7" s="58" t="s">
        <v>172</v>
      </c>
      <c r="C7" s="53" t="s">
        <v>173</v>
      </c>
      <c r="D7" s="54" t="s">
        <v>167</v>
      </c>
      <c r="E7" s="82">
        <v>21000</v>
      </c>
      <c r="F7" s="83" t="s">
        <v>174</v>
      </c>
      <c r="G7" s="83" t="s">
        <v>175</v>
      </c>
      <c r="H7" s="82">
        <v>30000</v>
      </c>
      <c r="I7" s="97">
        <f t="shared" si="0"/>
        <v>-0.3</v>
      </c>
      <c r="J7" s="98">
        <f t="shared" si="1"/>
        <v>28350</v>
      </c>
      <c r="K7" s="245"/>
      <c r="L7" s="100" t="s">
        <v>25</v>
      </c>
      <c r="M7" s="100" t="s">
        <v>26</v>
      </c>
      <c r="N7" s="110">
        <v>0.2</v>
      </c>
      <c r="O7" s="111">
        <v>0.4</v>
      </c>
      <c r="P7" s="103" t="s">
        <v>176</v>
      </c>
      <c r="Q7" s="139" t="s">
        <v>74</v>
      </c>
      <c r="R7" s="126" t="s">
        <v>75</v>
      </c>
      <c r="S7" s="140">
        <v>0.15</v>
      </c>
      <c r="T7" s="141">
        <v>0.3</v>
      </c>
      <c r="U7" s="129" t="s">
        <v>177</v>
      </c>
      <c r="V7" s="130" t="s">
        <v>105</v>
      </c>
      <c r="W7" s="130" t="s">
        <v>106</v>
      </c>
      <c r="X7" s="142">
        <v>0.2</v>
      </c>
      <c r="Y7" s="152">
        <v>0.4</v>
      </c>
    </row>
    <row r="8" spans="1:25" ht="24" customHeight="1">
      <c r="A8" s="241"/>
      <c r="B8" s="54" t="s">
        <v>178</v>
      </c>
      <c r="C8" s="57" t="s">
        <v>166</v>
      </c>
      <c r="D8" s="58" t="s">
        <v>179</v>
      </c>
      <c r="E8" s="84">
        <v>24000</v>
      </c>
      <c r="F8" s="85" t="s">
        <v>180</v>
      </c>
      <c r="G8" s="85" t="s">
        <v>181</v>
      </c>
      <c r="H8" s="84">
        <v>30000</v>
      </c>
      <c r="I8" s="104">
        <f t="shared" si="0"/>
        <v>-0.2</v>
      </c>
      <c r="J8" s="98">
        <f t="shared" si="1"/>
        <v>32400</v>
      </c>
      <c r="K8" s="105" t="s">
        <v>182</v>
      </c>
      <c r="L8" s="106" t="s">
        <v>31</v>
      </c>
      <c r="M8" s="106" t="s">
        <v>32</v>
      </c>
      <c r="N8" s="107">
        <v>0.15</v>
      </c>
      <c r="O8" s="108">
        <v>0.3</v>
      </c>
      <c r="P8" s="109" t="s">
        <v>183</v>
      </c>
      <c r="Q8" s="132" t="s">
        <v>80</v>
      </c>
      <c r="R8" s="133" t="s">
        <v>81</v>
      </c>
      <c r="S8" s="134">
        <v>0.15</v>
      </c>
      <c r="T8" s="135">
        <v>0.3</v>
      </c>
      <c r="U8" s="136" t="s">
        <v>183</v>
      </c>
      <c r="V8" s="137" t="s">
        <v>109</v>
      </c>
      <c r="W8" s="137" t="s">
        <v>110</v>
      </c>
      <c r="X8" s="138">
        <v>0.15</v>
      </c>
      <c r="Y8" s="151">
        <v>0.3</v>
      </c>
    </row>
    <row r="9" spans="1:25" ht="22" customHeight="1">
      <c r="A9" s="241"/>
      <c r="B9" s="58" t="s">
        <v>184</v>
      </c>
      <c r="C9" s="53" t="s">
        <v>185</v>
      </c>
      <c r="D9" s="54" t="s">
        <v>186</v>
      </c>
      <c r="E9" s="82">
        <v>17000</v>
      </c>
      <c r="F9" s="83" t="s">
        <v>187</v>
      </c>
      <c r="G9" s="83" t="s">
        <v>188</v>
      </c>
      <c r="H9" s="82">
        <v>25000</v>
      </c>
      <c r="I9" s="97">
        <f t="shared" si="0"/>
        <v>-0.32</v>
      </c>
      <c r="J9" s="98">
        <f t="shared" si="1"/>
        <v>22950</v>
      </c>
      <c r="K9" s="99" t="s">
        <v>189</v>
      </c>
      <c r="L9" s="100" t="s">
        <v>37</v>
      </c>
      <c r="M9" s="100" t="s">
        <v>38</v>
      </c>
      <c r="N9" s="110">
        <v>0.15</v>
      </c>
      <c r="O9" s="111">
        <v>0.3</v>
      </c>
      <c r="P9" s="103" t="s">
        <v>190</v>
      </c>
      <c r="Q9" s="139" t="s">
        <v>83</v>
      </c>
      <c r="R9" s="126" t="s">
        <v>84</v>
      </c>
      <c r="S9" s="140">
        <v>0.1</v>
      </c>
      <c r="T9" s="141">
        <v>0.2</v>
      </c>
      <c r="U9" s="129" t="s">
        <v>190</v>
      </c>
      <c r="V9" s="130" t="s">
        <v>113</v>
      </c>
      <c r="W9" s="130" t="s">
        <v>114</v>
      </c>
      <c r="X9" s="142">
        <v>0.15</v>
      </c>
      <c r="Y9" s="152">
        <v>0.3</v>
      </c>
    </row>
    <row r="10" spans="1:25" ht="21" customHeight="1">
      <c r="A10" s="241"/>
      <c r="B10" s="54" t="s">
        <v>191</v>
      </c>
      <c r="C10" s="57" t="s">
        <v>192</v>
      </c>
      <c r="D10" s="58" t="s">
        <v>193</v>
      </c>
      <c r="E10" s="84">
        <v>15000</v>
      </c>
      <c r="F10" s="85" t="s">
        <v>194</v>
      </c>
      <c r="G10" s="85" t="s">
        <v>195</v>
      </c>
      <c r="H10" s="58" t="s">
        <v>196</v>
      </c>
      <c r="I10" s="112" t="s">
        <v>196</v>
      </c>
      <c r="J10" s="98">
        <f t="shared" si="1"/>
        <v>20250</v>
      </c>
      <c r="K10" s="105" t="s">
        <v>197</v>
      </c>
      <c r="L10" s="106" t="s">
        <v>43</v>
      </c>
      <c r="M10" s="106" t="s">
        <v>44</v>
      </c>
      <c r="N10" s="107">
        <v>0.15</v>
      </c>
      <c r="O10" s="108">
        <v>0.3</v>
      </c>
      <c r="P10" s="109" t="s">
        <v>198</v>
      </c>
      <c r="Q10" s="132" t="s">
        <v>85</v>
      </c>
      <c r="R10" s="133" t="s">
        <v>86</v>
      </c>
      <c r="S10" s="134">
        <v>0.1</v>
      </c>
      <c r="T10" s="135">
        <v>0.2</v>
      </c>
      <c r="U10" s="136" t="s">
        <v>198</v>
      </c>
      <c r="V10" s="137" t="s">
        <v>117</v>
      </c>
      <c r="W10" s="137" t="s">
        <v>118</v>
      </c>
      <c r="X10" s="138">
        <v>0.1</v>
      </c>
      <c r="Y10" s="151">
        <v>0.2</v>
      </c>
    </row>
    <row r="11" spans="1:25" ht="21" customHeight="1">
      <c r="A11" s="241"/>
      <c r="B11" s="58" t="s">
        <v>199</v>
      </c>
      <c r="C11" s="53" t="s">
        <v>192</v>
      </c>
      <c r="D11" s="54" t="s">
        <v>200</v>
      </c>
      <c r="E11" s="82">
        <v>15000</v>
      </c>
      <c r="F11" s="83" t="s">
        <v>194</v>
      </c>
      <c r="G11" s="83" t="s">
        <v>195</v>
      </c>
      <c r="H11" s="82">
        <v>25000</v>
      </c>
      <c r="I11" s="97">
        <f>(E11-H11)/H11*100%</f>
        <v>-0.4</v>
      </c>
      <c r="J11" s="98">
        <f t="shared" si="1"/>
        <v>20250</v>
      </c>
      <c r="K11" s="99" t="s">
        <v>198</v>
      </c>
      <c r="L11" s="100" t="s">
        <v>49</v>
      </c>
      <c r="M11" s="100" t="s">
        <v>50</v>
      </c>
      <c r="N11" s="110">
        <v>0.1</v>
      </c>
      <c r="O11" s="111">
        <v>0.2</v>
      </c>
      <c r="P11" s="113" t="s">
        <v>201</v>
      </c>
      <c r="Q11" s="143" t="s">
        <v>87</v>
      </c>
      <c r="R11" s="144" t="s">
        <v>202</v>
      </c>
      <c r="S11" s="145">
        <v>0.1</v>
      </c>
      <c r="T11" s="146">
        <v>0.2</v>
      </c>
      <c r="U11" s="147" t="s">
        <v>201</v>
      </c>
      <c r="V11" s="148" t="s">
        <v>120</v>
      </c>
      <c r="W11" s="148" t="s">
        <v>121</v>
      </c>
      <c r="X11" s="149">
        <v>0.1</v>
      </c>
      <c r="Y11" s="153">
        <v>0.2</v>
      </c>
    </row>
    <row r="12" spans="1:25" ht="24" customHeight="1">
      <c r="A12" s="241"/>
      <c r="B12" s="54" t="s">
        <v>203</v>
      </c>
      <c r="C12" s="62" t="s">
        <v>192</v>
      </c>
      <c r="D12" s="63" t="s">
        <v>200</v>
      </c>
      <c r="E12" s="86">
        <v>17000</v>
      </c>
      <c r="F12" s="85" t="s">
        <v>187</v>
      </c>
      <c r="G12" s="85" t="s">
        <v>188</v>
      </c>
      <c r="H12" s="86">
        <v>25000</v>
      </c>
      <c r="I12" s="114">
        <f>(E12-H12)/H12*100%</f>
        <v>-0.32</v>
      </c>
      <c r="J12" s="98">
        <f t="shared" si="1"/>
        <v>22950</v>
      </c>
      <c r="K12" s="115" t="s">
        <v>201</v>
      </c>
      <c r="L12" s="116" t="s">
        <v>55</v>
      </c>
      <c r="M12" s="116" t="s">
        <v>56</v>
      </c>
      <c r="N12" s="117">
        <v>0.1</v>
      </c>
      <c r="O12" s="118">
        <v>0.2</v>
      </c>
    </row>
    <row r="13" spans="1:25" ht="25" customHeight="1">
      <c r="A13" s="87"/>
      <c r="B13" s="88"/>
      <c r="C13" s="88"/>
      <c r="D13" s="88" t="s">
        <v>204</v>
      </c>
      <c r="E13" s="89">
        <f>SUM(E3:E12)</f>
        <v>195000</v>
      </c>
      <c r="F13" s="90"/>
      <c r="G13" s="90"/>
      <c r="H13" s="88"/>
      <c r="I13" s="88" t="s">
        <v>204</v>
      </c>
      <c r="J13" s="98">
        <f>SUM(J3:J12)</f>
        <v>250300</v>
      </c>
    </row>
    <row r="14" spans="1:25" ht="49" customHeight="1">
      <c r="A14" s="49"/>
      <c r="B14" s="50" t="s">
        <v>128</v>
      </c>
      <c r="C14" s="50" t="s">
        <v>205</v>
      </c>
      <c r="D14" s="50" t="s">
        <v>129</v>
      </c>
      <c r="E14" s="50" t="s">
        <v>206</v>
      </c>
      <c r="F14" s="91" t="s">
        <v>131</v>
      </c>
      <c r="G14" s="91" t="s">
        <v>132</v>
      </c>
      <c r="H14" s="81" t="s">
        <v>133</v>
      </c>
      <c r="I14" s="95" t="s">
        <v>134</v>
      </c>
      <c r="J14" s="96" t="s">
        <v>135</v>
      </c>
      <c r="K14" s="229" t="s">
        <v>207</v>
      </c>
      <c r="L14" s="230"/>
      <c r="M14" s="230"/>
      <c r="N14" s="230"/>
      <c r="O14" s="230"/>
      <c r="P14" s="230"/>
      <c r="Q14" s="230"/>
      <c r="R14" s="231"/>
    </row>
    <row r="15" spans="1:25" ht="26" customHeight="1">
      <c r="A15" s="242" t="s">
        <v>208</v>
      </c>
      <c r="B15" s="54" t="s">
        <v>166</v>
      </c>
      <c r="C15" s="54">
        <v>1</v>
      </c>
      <c r="D15" s="54" t="s">
        <v>209</v>
      </c>
      <c r="E15" s="82">
        <v>25000</v>
      </c>
      <c r="F15" s="83" t="s">
        <v>210</v>
      </c>
      <c r="G15" s="83" t="s">
        <v>211</v>
      </c>
      <c r="H15" s="82">
        <v>35000</v>
      </c>
      <c r="I15" s="97">
        <f t="shared" ref="I15:I22" si="2">(E15-H15)/H15*100%</f>
        <v>-0.28571428571428598</v>
      </c>
      <c r="J15" s="98">
        <f>E15*35%+E15</f>
        <v>33750</v>
      </c>
      <c r="K15" s="119" t="s">
        <v>212</v>
      </c>
      <c r="L15" s="120" t="s">
        <v>213</v>
      </c>
      <c r="M15" s="120" t="s">
        <v>214</v>
      </c>
      <c r="N15" s="232" t="s">
        <v>215</v>
      </c>
      <c r="O15" s="233"/>
      <c r="P15" s="234"/>
      <c r="Q15" s="235" t="s">
        <v>216</v>
      </c>
      <c r="R15" s="236"/>
    </row>
    <row r="16" spans="1:25" ht="27" customHeight="1">
      <c r="A16" s="242"/>
      <c r="B16" s="58" t="s">
        <v>166</v>
      </c>
      <c r="C16" s="58">
        <v>1</v>
      </c>
      <c r="D16" s="58" t="s">
        <v>179</v>
      </c>
      <c r="E16" s="84">
        <v>25000</v>
      </c>
      <c r="F16" s="85" t="s">
        <v>210</v>
      </c>
      <c r="G16" s="85" t="s">
        <v>211</v>
      </c>
      <c r="H16" s="84">
        <v>35000</v>
      </c>
      <c r="I16" s="104">
        <f t="shared" si="2"/>
        <v>-0.28571428571428598</v>
      </c>
      <c r="J16" s="98">
        <f>E16*35%+E16</f>
        <v>33750</v>
      </c>
      <c r="K16" s="246" t="s">
        <v>217</v>
      </c>
      <c r="L16" s="247" t="s">
        <v>218</v>
      </c>
      <c r="M16" s="121">
        <v>0.2</v>
      </c>
      <c r="N16" s="237" t="s">
        <v>219</v>
      </c>
      <c r="O16" s="237"/>
      <c r="P16" s="237"/>
      <c r="Q16" s="249" t="s">
        <v>220</v>
      </c>
      <c r="R16" s="250"/>
    </row>
    <row r="17" spans="1:18" ht="26" customHeight="1">
      <c r="A17" s="242"/>
      <c r="B17" s="54" t="s">
        <v>173</v>
      </c>
      <c r="C17" s="54">
        <v>1</v>
      </c>
      <c r="D17" s="54" t="s">
        <v>221</v>
      </c>
      <c r="E17" s="82">
        <v>28000</v>
      </c>
      <c r="F17" s="83" t="s">
        <v>222</v>
      </c>
      <c r="G17" s="83" t="s">
        <v>223</v>
      </c>
      <c r="H17" s="82">
        <v>35000</v>
      </c>
      <c r="I17" s="97">
        <f t="shared" si="2"/>
        <v>-0.2</v>
      </c>
      <c r="J17" s="98">
        <f>E17*35%+E17</f>
        <v>37800</v>
      </c>
      <c r="K17" s="246"/>
      <c r="L17" s="247"/>
      <c r="M17" s="121">
        <v>0.3</v>
      </c>
      <c r="N17" s="237" t="s">
        <v>224</v>
      </c>
      <c r="O17" s="237"/>
      <c r="P17" s="237"/>
      <c r="Q17" s="249"/>
      <c r="R17" s="250"/>
    </row>
    <row r="18" spans="1:18" ht="27" customHeight="1">
      <c r="A18" s="242"/>
      <c r="B18" s="58" t="s">
        <v>141</v>
      </c>
      <c r="C18" s="58">
        <v>1</v>
      </c>
      <c r="D18" s="58" t="s">
        <v>142</v>
      </c>
      <c r="E18" s="84">
        <v>25000</v>
      </c>
      <c r="F18" s="85" t="s">
        <v>210</v>
      </c>
      <c r="G18" s="85" t="s">
        <v>211</v>
      </c>
      <c r="H18" s="84">
        <v>35000</v>
      </c>
      <c r="I18" s="104">
        <f t="shared" si="2"/>
        <v>-0.28571428571428598</v>
      </c>
      <c r="J18" s="98">
        <f>E18*35%+E18</f>
        <v>33750</v>
      </c>
      <c r="K18" s="246"/>
      <c r="L18" s="247"/>
      <c r="M18" s="121">
        <v>0.3</v>
      </c>
      <c r="N18" s="237" t="s">
        <v>225</v>
      </c>
      <c r="O18" s="237"/>
      <c r="P18" s="237"/>
      <c r="Q18" s="249"/>
      <c r="R18" s="250"/>
    </row>
    <row r="19" spans="1:18" ht="27" customHeight="1">
      <c r="A19" s="242"/>
      <c r="B19" s="54" t="s">
        <v>185</v>
      </c>
      <c r="C19" s="54">
        <v>1</v>
      </c>
      <c r="D19" s="54" t="s">
        <v>186</v>
      </c>
      <c r="E19" s="82">
        <v>20000</v>
      </c>
      <c r="F19" s="83" t="s">
        <v>226</v>
      </c>
      <c r="G19" s="83" t="s">
        <v>227</v>
      </c>
      <c r="H19" s="82">
        <v>25000</v>
      </c>
      <c r="I19" s="97">
        <f t="shared" si="2"/>
        <v>-0.2</v>
      </c>
      <c r="J19" s="98">
        <f>E19*35%+E19</f>
        <v>27000</v>
      </c>
      <c r="K19" s="246"/>
      <c r="L19" s="247"/>
      <c r="M19" s="121">
        <v>0.2</v>
      </c>
      <c r="N19" s="237" t="s">
        <v>228</v>
      </c>
      <c r="O19" s="237"/>
      <c r="P19" s="237"/>
      <c r="Q19" s="249"/>
      <c r="R19" s="250"/>
    </row>
    <row r="20" spans="1:18" ht="26" customHeight="1">
      <c r="A20" s="242"/>
      <c r="B20" s="58" t="s">
        <v>229</v>
      </c>
      <c r="C20" s="58">
        <v>2</v>
      </c>
      <c r="D20" s="58" t="s">
        <v>230</v>
      </c>
      <c r="E20" s="84">
        <v>45000</v>
      </c>
      <c r="F20" s="85" t="s">
        <v>231</v>
      </c>
      <c r="G20" s="85" t="s">
        <v>232</v>
      </c>
      <c r="H20" s="84">
        <v>60000</v>
      </c>
      <c r="I20" s="104">
        <f t="shared" si="2"/>
        <v>-0.25</v>
      </c>
      <c r="J20" s="98">
        <f>(36921*35%+E20)*2</f>
        <v>115844.7</v>
      </c>
      <c r="K20" s="246"/>
      <c r="L20" s="237" t="s">
        <v>229</v>
      </c>
      <c r="M20" s="121">
        <v>0.05</v>
      </c>
      <c r="N20" s="237" t="s">
        <v>233</v>
      </c>
      <c r="O20" s="237"/>
      <c r="P20" s="237"/>
      <c r="Q20" s="249"/>
      <c r="R20" s="250"/>
    </row>
    <row r="21" spans="1:18" ht="26" customHeight="1">
      <c r="A21" s="242"/>
      <c r="B21" s="54" t="s">
        <v>229</v>
      </c>
      <c r="C21" s="54">
        <v>1</v>
      </c>
      <c r="D21" s="54" t="s">
        <v>234</v>
      </c>
      <c r="E21" s="82">
        <v>25000</v>
      </c>
      <c r="F21" s="83" t="s">
        <v>210</v>
      </c>
      <c r="G21" s="83" t="s">
        <v>211</v>
      </c>
      <c r="H21" s="82">
        <v>30000</v>
      </c>
      <c r="I21" s="97">
        <f t="shared" si="2"/>
        <v>-0.16666666666666699</v>
      </c>
      <c r="J21" s="98">
        <f>E21*35%+E21</f>
        <v>33750</v>
      </c>
      <c r="K21" s="246"/>
      <c r="L21" s="237"/>
      <c r="M21" s="121">
        <v>7.0000000000000007E-2</v>
      </c>
      <c r="N21" s="237" t="s">
        <v>235</v>
      </c>
      <c r="O21" s="237"/>
      <c r="P21" s="237"/>
      <c r="Q21" s="249"/>
      <c r="R21" s="250"/>
    </row>
    <row r="22" spans="1:18" ht="26" customHeight="1">
      <c r="A22" s="242"/>
      <c r="B22" s="58" t="s">
        <v>229</v>
      </c>
      <c r="C22" s="58">
        <v>1</v>
      </c>
      <c r="D22" s="58" t="s">
        <v>236</v>
      </c>
      <c r="E22" s="84">
        <v>20000</v>
      </c>
      <c r="F22" s="85" t="s">
        <v>226</v>
      </c>
      <c r="G22" s="85" t="s">
        <v>227</v>
      </c>
      <c r="H22" s="84">
        <v>25000</v>
      </c>
      <c r="I22" s="104">
        <f t="shared" si="2"/>
        <v>-0.2</v>
      </c>
      <c r="J22" s="98">
        <f>E22*35%+E22</f>
        <v>27000</v>
      </c>
      <c r="K22" s="246"/>
      <c r="L22" s="237"/>
      <c r="M22" s="121">
        <v>0.1</v>
      </c>
      <c r="N22" s="237" t="s">
        <v>237</v>
      </c>
      <c r="O22" s="237"/>
      <c r="P22" s="237"/>
      <c r="Q22" s="249"/>
      <c r="R22" s="250"/>
    </row>
    <row r="23" spans="1:18" ht="26" customHeight="1">
      <c r="A23" s="243" t="s">
        <v>238</v>
      </c>
      <c r="B23" s="244" t="s">
        <v>239</v>
      </c>
      <c r="C23" s="54" t="s">
        <v>240</v>
      </c>
      <c r="D23" s="54" t="s">
        <v>241</v>
      </c>
      <c r="E23" s="82">
        <v>100000</v>
      </c>
      <c r="F23" s="83" t="s">
        <v>242</v>
      </c>
      <c r="G23" s="83" t="s">
        <v>243</v>
      </c>
      <c r="H23" s="54" t="s">
        <v>196</v>
      </c>
      <c r="I23" s="122" t="s">
        <v>196</v>
      </c>
      <c r="J23" s="98">
        <f>36921*35%+E23</f>
        <v>112922.35</v>
      </c>
      <c r="K23" s="123" t="s">
        <v>244</v>
      </c>
      <c r="L23" s="124" t="s">
        <v>245</v>
      </c>
      <c r="M23" s="124" t="s">
        <v>246</v>
      </c>
      <c r="N23" s="238" t="s">
        <v>247</v>
      </c>
      <c r="O23" s="238"/>
      <c r="P23" s="238"/>
      <c r="Q23" s="238"/>
      <c r="R23" s="239"/>
    </row>
    <row r="24" spans="1:18" ht="26" customHeight="1">
      <c r="A24" s="243"/>
      <c r="B24" s="244"/>
      <c r="C24" s="58" t="s">
        <v>248</v>
      </c>
      <c r="D24" s="58" t="s">
        <v>249</v>
      </c>
      <c r="E24" s="84">
        <v>100000</v>
      </c>
      <c r="F24" s="85" t="s">
        <v>242</v>
      </c>
      <c r="G24" s="85" t="s">
        <v>243</v>
      </c>
      <c r="H24" s="58" t="s">
        <v>196</v>
      </c>
      <c r="I24" s="112" t="s">
        <v>196</v>
      </c>
      <c r="J24" s="98">
        <f>36921*35%+E24</f>
        <v>112922.35</v>
      </c>
    </row>
    <row r="25" spans="1:18" ht="26" customHeight="1">
      <c r="A25" s="243"/>
      <c r="B25" s="244"/>
      <c r="C25" s="54" t="s">
        <v>250</v>
      </c>
      <c r="D25" s="54" t="s">
        <v>251</v>
      </c>
      <c r="E25" s="82">
        <v>100000</v>
      </c>
      <c r="F25" s="83" t="s">
        <v>242</v>
      </c>
      <c r="G25" s="83" t="s">
        <v>243</v>
      </c>
      <c r="H25" s="54" t="s">
        <v>196</v>
      </c>
      <c r="I25" s="122" t="s">
        <v>196</v>
      </c>
      <c r="J25" s="98">
        <f>36921*35%+E25</f>
        <v>112922.35</v>
      </c>
    </row>
    <row r="26" spans="1:18" ht="26" customHeight="1">
      <c r="A26" s="243"/>
      <c r="B26" s="244"/>
      <c r="C26" s="63" t="s">
        <v>252</v>
      </c>
      <c r="D26" s="63" t="s">
        <v>253</v>
      </c>
      <c r="E26" s="86">
        <v>80000</v>
      </c>
      <c r="F26" s="85" t="s">
        <v>254</v>
      </c>
      <c r="G26" s="85" t="s">
        <v>255</v>
      </c>
      <c r="H26" s="63" t="s">
        <v>196</v>
      </c>
      <c r="I26" s="125" t="s">
        <v>196</v>
      </c>
      <c r="J26" s="98">
        <f>36921*35%+E26</f>
        <v>92922.35</v>
      </c>
    </row>
    <row r="27" spans="1:18" ht="26" customHeight="1">
      <c r="A27" s="88"/>
      <c r="B27" s="88"/>
      <c r="C27" s="88"/>
      <c r="D27" s="88" t="s">
        <v>204</v>
      </c>
      <c r="E27" s="89">
        <f>SUM(E15+E16+E17+E18+E19+E20*2+E21+E22+E23+E24+E25+E26)</f>
        <v>638000</v>
      </c>
      <c r="F27" s="88"/>
      <c r="G27" s="88"/>
      <c r="H27" s="88"/>
      <c r="I27" s="88" t="s">
        <v>204</v>
      </c>
      <c r="J27" s="89">
        <f>SUM(J15:J26)</f>
        <v>774334.1</v>
      </c>
    </row>
    <row r="28" spans="1:18" ht="26" customHeight="1">
      <c r="D28" s="92" t="s">
        <v>256</v>
      </c>
      <c r="E28" s="93">
        <f>SUM(E13+E27)</f>
        <v>833000</v>
      </c>
      <c r="F28" s="94"/>
      <c r="G28" s="94"/>
      <c r="H28" s="94"/>
      <c r="I28" s="92" t="s">
        <v>256</v>
      </c>
      <c r="J28" s="93">
        <f>SUM(J13+J27)</f>
        <v>1024634.1</v>
      </c>
    </row>
    <row r="29" spans="1:18" ht="58" customHeight="1">
      <c r="E29" s="94" t="s">
        <v>257</v>
      </c>
      <c r="J29" s="94" t="s">
        <v>258</v>
      </c>
    </row>
    <row r="30" spans="1:18" ht="26" customHeight="1"/>
    <row r="31" spans="1:18" ht="45" customHeight="1"/>
    <row r="32" spans="1:18" ht="46" customHeight="1"/>
  </sheetData>
  <mergeCells count="26">
    <mergeCell ref="U4:U6"/>
    <mergeCell ref="Q16:R22"/>
    <mergeCell ref="N23:R23"/>
    <mergeCell ref="A3:A12"/>
    <mergeCell ref="A15:A22"/>
    <mergeCell ref="A23:A26"/>
    <mergeCell ref="B23:B26"/>
    <mergeCell ref="K4:K7"/>
    <mergeCell ref="K16:K22"/>
    <mergeCell ref="L16:L19"/>
    <mergeCell ref="L20:L22"/>
    <mergeCell ref="N18:P18"/>
    <mergeCell ref="N19:P19"/>
    <mergeCell ref="N20:P20"/>
    <mergeCell ref="N21:P21"/>
    <mergeCell ref="N22:P22"/>
    <mergeCell ref="K14:R14"/>
    <mergeCell ref="N15:P15"/>
    <mergeCell ref="Q15:R15"/>
    <mergeCell ref="N16:P16"/>
    <mergeCell ref="N17:P17"/>
    <mergeCell ref="A1:J1"/>
    <mergeCell ref="K1:Y1"/>
    <mergeCell ref="K2:O2"/>
    <mergeCell ref="P2:T2"/>
    <mergeCell ref="U2:Y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42"/>
  <sheetViews>
    <sheetView workbookViewId="0">
      <selection activeCell="F10" sqref="F10"/>
    </sheetView>
  </sheetViews>
  <sheetFormatPr baseColWidth="10" defaultColWidth="9" defaultRowHeight="15"/>
  <cols>
    <col min="1" max="2" width="8.83203125" customWidth="1"/>
    <col min="3" max="3" width="21.1640625" customWidth="1"/>
    <col min="4" max="4" width="14.83203125" customWidth="1"/>
    <col min="5" max="5" width="52.5" customWidth="1"/>
    <col min="6" max="6" width="17.6640625" customWidth="1"/>
    <col min="8" max="8" width="8.83203125" customWidth="1"/>
    <col min="9" max="9" width="7.33203125" customWidth="1"/>
    <col min="10" max="10" width="20" customWidth="1"/>
    <col min="11" max="11" width="14.83203125" customWidth="1"/>
    <col min="12" max="12" width="52.5" customWidth="1"/>
    <col min="13" max="13" width="42.33203125" customWidth="1"/>
    <col min="14" max="15" width="19.1640625" customWidth="1"/>
  </cols>
  <sheetData>
    <row r="1" spans="1:15" ht="21">
      <c r="A1" s="212" t="s">
        <v>259</v>
      </c>
      <c r="B1" s="213"/>
      <c r="C1" s="213"/>
      <c r="D1" s="213"/>
      <c r="E1" s="213"/>
      <c r="F1" s="213"/>
      <c r="H1" s="212" t="s">
        <v>260</v>
      </c>
      <c r="I1" s="213"/>
      <c r="J1" s="213"/>
      <c r="K1" s="213"/>
      <c r="L1" s="213"/>
      <c r="M1" s="213"/>
    </row>
    <row r="3" spans="1:15">
      <c r="A3" s="16" t="s">
        <v>261</v>
      </c>
      <c r="B3" s="17" t="s">
        <v>3</v>
      </c>
      <c r="C3" s="18" t="s">
        <v>262</v>
      </c>
      <c r="D3" s="18" t="s">
        <v>263</v>
      </c>
      <c r="E3" s="18" t="s">
        <v>264</v>
      </c>
      <c r="F3" s="19" t="s">
        <v>265</v>
      </c>
      <c r="H3" s="16" t="s">
        <v>261</v>
      </c>
      <c r="I3" s="17" t="s">
        <v>3</v>
      </c>
      <c r="J3" s="18" t="s">
        <v>262</v>
      </c>
      <c r="K3" s="69" t="s">
        <v>5</v>
      </c>
      <c r="L3" s="18" t="s">
        <v>264</v>
      </c>
      <c r="M3" s="69" t="s">
        <v>266</v>
      </c>
      <c r="N3" s="69" t="s">
        <v>267</v>
      </c>
      <c r="O3" s="70" t="s">
        <v>268</v>
      </c>
    </row>
    <row r="4" spans="1:15">
      <c r="A4" s="20" t="s">
        <v>9</v>
      </c>
      <c r="B4" s="21" t="s">
        <v>269</v>
      </c>
      <c r="C4" s="22" t="s">
        <v>44</v>
      </c>
      <c r="D4" s="22" t="s">
        <v>270</v>
      </c>
      <c r="E4" s="22" t="s">
        <v>271</v>
      </c>
      <c r="F4" s="23" t="s">
        <v>272</v>
      </c>
      <c r="H4" s="20" t="s">
        <v>9</v>
      </c>
      <c r="I4" s="21" t="s">
        <v>273</v>
      </c>
      <c r="J4" s="22" t="s">
        <v>274</v>
      </c>
      <c r="K4" s="21" t="s">
        <v>275</v>
      </c>
      <c r="L4" s="21" t="s">
        <v>276</v>
      </c>
      <c r="M4" s="21" t="s">
        <v>277</v>
      </c>
      <c r="N4" s="21" t="s">
        <v>278</v>
      </c>
      <c r="O4" s="71" t="s">
        <v>279</v>
      </c>
    </row>
    <row r="5" spans="1:15">
      <c r="A5" s="24" t="s">
        <v>9</v>
      </c>
      <c r="B5" s="25" t="s">
        <v>280</v>
      </c>
      <c r="C5" s="26" t="s">
        <v>38</v>
      </c>
      <c r="D5" s="26" t="s">
        <v>281</v>
      </c>
      <c r="E5" s="26" t="s">
        <v>282</v>
      </c>
      <c r="F5" s="27" t="s">
        <v>283</v>
      </c>
      <c r="H5" s="24" t="s">
        <v>9</v>
      </c>
      <c r="I5" s="25" t="s">
        <v>284</v>
      </c>
      <c r="J5" s="26" t="s">
        <v>285</v>
      </c>
      <c r="K5" s="25" t="s">
        <v>286</v>
      </c>
      <c r="L5" s="25" t="s">
        <v>287</v>
      </c>
      <c r="M5" s="25" t="s">
        <v>288</v>
      </c>
      <c r="N5" s="25" t="s">
        <v>289</v>
      </c>
      <c r="O5" s="72" t="s">
        <v>290</v>
      </c>
    </row>
    <row r="6" spans="1:15">
      <c r="A6" s="20" t="s">
        <v>9</v>
      </c>
      <c r="B6" s="21" t="s">
        <v>291</v>
      </c>
      <c r="C6" s="22" t="s">
        <v>26</v>
      </c>
      <c r="D6" s="22" t="s">
        <v>292</v>
      </c>
      <c r="E6" s="22" t="s">
        <v>293</v>
      </c>
      <c r="F6" s="23" t="s">
        <v>294</v>
      </c>
      <c r="H6" s="20" t="s">
        <v>9</v>
      </c>
      <c r="I6" s="21" t="s">
        <v>295</v>
      </c>
      <c r="J6" s="22" t="s">
        <v>170</v>
      </c>
      <c r="K6" s="21" t="s">
        <v>296</v>
      </c>
      <c r="L6" s="21" t="s">
        <v>297</v>
      </c>
      <c r="M6" s="21" t="s">
        <v>298</v>
      </c>
      <c r="N6" s="21" t="s">
        <v>299</v>
      </c>
      <c r="O6" s="71" t="s">
        <v>300</v>
      </c>
    </row>
    <row r="7" spans="1:15">
      <c r="A7" s="28" t="s">
        <v>9</v>
      </c>
      <c r="B7" s="29" t="s">
        <v>301</v>
      </c>
      <c r="C7" s="30" t="s">
        <v>302</v>
      </c>
      <c r="D7" s="30" t="s">
        <v>303</v>
      </c>
      <c r="E7" s="30" t="s">
        <v>304</v>
      </c>
      <c r="F7" s="31" t="s">
        <v>305</v>
      </c>
      <c r="H7" s="28" t="s">
        <v>9</v>
      </c>
      <c r="I7" s="29" t="s">
        <v>306</v>
      </c>
      <c r="J7" s="30" t="s">
        <v>307</v>
      </c>
      <c r="K7" s="29" t="s">
        <v>308</v>
      </c>
      <c r="L7" s="29" t="s">
        <v>309</v>
      </c>
      <c r="M7" s="29" t="s">
        <v>310</v>
      </c>
      <c r="N7" s="29" t="s">
        <v>311</v>
      </c>
      <c r="O7" s="73" t="s">
        <v>312</v>
      </c>
    </row>
    <row r="9" spans="1:15">
      <c r="A9" s="32" t="s">
        <v>261</v>
      </c>
      <c r="B9" s="33" t="s">
        <v>3</v>
      </c>
      <c r="C9" s="34" t="s">
        <v>262</v>
      </c>
      <c r="D9" s="34" t="s">
        <v>263</v>
      </c>
      <c r="E9" s="34" t="s">
        <v>264</v>
      </c>
      <c r="F9" s="35" t="s">
        <v>265</v>
      </c>
    </row>
    <row r="10" spans="1:15">
      <c r="A10" s="36" t="s">
        <v>313</v>
      </c>
      <c r="B10" s="37" t="s">
        <v>314</v>
      </c>
      <c r="C10" s="38" t="s">
        <v>315</v>
      </c>
      <c r="D10" s="38" t="s">
        <v>316</v>
      </c>
      <c r="E10" s="38" t="s">
        <v>317</v>
      </c>
      <c r="F10" s="39" t="s">
        <v>318</v>
      </c>
      <c r="H10" s="40" t="s">
        <v>262</v>
      </c>
      <c r="I10" s="74" t="s">
        <v>3</v>
      </c>
      <c r="J10" s="34" t="s">
        <v>262</v>
      </c>
      <c r="K10" s="74" t="s">
        <v>5</v>
      </c>
      <c r="L10" s="74" t="s">
        <v>319</v>
      </c>
      <c r="M10" s="74" t="s">
        <v>320</v>
      </c>
      <c r="N10" s="74" t="s">
        <v>321</v>
      </c>
      <c r="O10" s="75" t="s">
        <v>322</v>
      </c>
    </row>
    <row r="11" spans="1:15">
      <c r="A11" s="41" t="s">
        <v>313</v>
      </c>
      <c r="B11" s="42" t="s">
        <v>323</v>
      </c>
      <c r="C11" s="43" t="s">
        <v>38</v>
      </c>
      <c r="D11" s="43" t="s">
        <v>324</v>
      </c>
      <c r="E11" s="43" t="s">
        <v>325</v>
      </c>
      <c r="F11" s="44" t="s">
        <v>326</v>
      </c>
      <c r="H11" s="36" t="s">
        <v>327</v>
      </c>
      <c r="I11" s="37" t="s">
        <v>87</v>
      </c>
      <c r="J11" s="37" t="s">
        <v>328</v>
      </c>
      <c r="K11" s="37" t="s">
        <v>329</v>
      </c>
      <c r="L11" s="37" t="s">
        <v>330</v>
      </c>
      <c r="M11" s="37" t="s">
        <v>331</v>
      </c>
      <c r="N11" s="37" t="s">
        <v>332</v>
      </c>
      <c r="O11" s="39">
        <v>0</v>
      </c>
    </row>
    <row r="12" spans="1:15">
      <c r="A12" s="45" t="s">
        <v>313</v>
      </c>
      <c r="B12" s="46" t="s">
        <v>333</v>
      </c>
      <c r="C12" s="47" t="s">
        <v>26</v>
      </c>
      <c r="D12" s="47" t="s">
        <v>334</v>
      </c>
      <c r="E12" s="47" t="s">
        <v>335</v>
      </c>
      <c r="F12" s="48" t="s">
        <v>336</v>
      </c>
      <c r="H12" s="41" t="s">
        <v>327</v>
      </c>
      <c r="I12" s="42" t="s">
        <v>85</v>
      </c>
      <c r="J12" s="42" t="s">
        <v>337</v>
      </c>
      <c r="K12" s="42" t="s">
        <v>338</v>
      </c>
      <c r="L12" s="42" t="s">
        <v>339</v>
      </c>
      <c r="M12" s="42" t="s">
        <v>340</v>
      </c>
      <c r="N12" s="42" t="s">
        <v>341</v>
      </c>
      <c r="O12" s="44">
        <v>0</v>
      </c>
    </row>
    <row r="13" spans="1:15">
      <c r="H13" s="36" t="s">
        <v>327</v>
      </c>
      <c r="I13" s="37" t="s">
        <v>83</v>
      </c>
      <c r="J13" s="37" t="s">
        <v>342</v>
      </c>
      <c r="K13" s="37" t="s">
        <v>343</v>
      </c>
      <c r="L13" s="37" t="s">
        <v>344</v>
      </c>
      <c r="M13" s="37" t="s">
        <v>345</v>
      </c>
      <c r="N13" s="37" t="s">
        <v>346</v>
      </c>
      <c r="O13" s="39">
        <v>0</v>
      </c>
    </row>
    <row r="14" spans="1:15">
      <c r="A14" s="49" t="s">
        <v>261</v>
      </c>
      <c r="B14" s="50" t="s">
        <v>3</v>
      </c>
      <c r="C14" s="51" t="s">
        <v>262</v>
      </c>
      <c r="D14" s="51" t="s">
        <v>263</v>
      </c>
      <c r="E14" s="51" t="s">
        <v>264</v>
      </c>
      <c r="F14" s="52" t="s">
        <v>265</v>
      </c>
      <c r="H14" s="41" t="s">
        <v>327</v>
      </c>
      <c r="I14" s="42" t="s">
        <v>80</v>
      </c>
      <c r="J14" s="42" t="s">
        <v>347</v>
      </c>
      <c r="K14" s="42" t="s">
        <v>348</v>
      </c>
      <c r="L14" s="42" t="s">
        <v>349</v>
      </c>
      <c r="M14" s="42" t="s">
        <v>350</v>
      </c>
      <c r="N14" s="42" t="s">
        <v>351</v>
      </c>
      <c r="O14" s="44">
        <v>0</v>
      </c>
    </row>
    <row r="15" spans="1:15">
      <c r="A15" s="53" t="s">
        <v>352</v>
      </c>
      <c r="B15" s="54" t="s">
        <v>353</v>
      </c>
      <c r="C15" s="55" t="s">
        <v>354</v>
      </c>
      <c r="D15" s="55" t="s">
        <v>355</v>
      </c>
      <c r="E15" s="55" t="s">
        <v>356</v>
      </c>
      <c r="F15" s="56" t="s">
        <v>357</v>
      </c>
      <c r="H15" s="36" t="s">
        <v>327</v>
      </c>
      <c r="I15" s="37" t="s">
        <v>74</v>
      </c>
      <c r="J15" s="37" t="s">
        <v>358</v>
      </c>
      <c r="K15" s="37" t="s">
        <v>359</v>
      </c>
      <c r="L15" s="37" t="s">
        <v>360</v>
      </c>
      <c r="M15" s="37" t="s">
        <v>361</v>
      </c>
      <c r="N15" s="37" t="s">
        <v>362</v>
      </c>
      <c r="O15" s="39">
        <v>0</v>
      </c>
    </row>
    <row r="16" spans="1:15">
      <c r="A16" s="57" t="s">
        <v>352</v>
      </c>
      <c r="B16" s="58" t="s">
        <v>363</v>
      </c>
      <c r="C16" s="59" t="s">
        <v>364</v>
      </c>
      <c r="D16" s="59" t="s">
        <v>365</v>
      </c>
      <c r="E16" s="59" t="s">
        <v>366</v>
      </c>
      <c r="F16" s="60" t="s">
        <v>367</v>
      </c>
      <c r="H16" s="41" t="s">
        <v>327</v>
      </c>
      <c r="I16" s="42" t="s">
        <v>71</v>
      </c>
      <c r="J16" s="42" t="s">
        <v>368</v>
      </c>
      <c r="K16" s="42" t="s">
        <v>369</v>
      </c>
      <c r="L16" s="42" t="s">
        <v>370</v>
      </c>
      <c r="M16" s="42" t="s">
        <v>371</v>
      </c>
      <c r="N16" s="42" t="s">
        <v>372</v>
      </c>
      <c r="O16" s="44">
        <v>0</v>
      </c>
    </row>
    <row r="17" spans="1:15">
      <c r="A17" s="53" t="s">
        <v>352</v>
      </c>
      <c r="B17" s="54" t="s">
        <v>373</v>
      </c>
      <c r="C17" s="55" t="s">
        <v>364</v>
      </c>
      <c r="D17" s="55" t="s">
        <v>374</v>
      </c>
      <c r="E17" s="55" t="s">
        <v>375</v>
      </c>
      <c r="F17" s="56" t="s">
        <v>376</v>
      </c>
      <c r="H17" s="36" t="s">
        <v>327</v>
      </c>
      <c r="I17" s="37" t="s">
        <v>68</v>
      </c>
      <c r="J17" s="37" t="s">
        <v>377</v>
      </c>
      <c r="K17" s="37" t="s">
        <v>378</v>
      </c>
      <c r="L17" s="37" t="s">
        <v>379</v>
      </c>
      <c r="M17" s="37" t="s">
        <v>380</v>
      </c>
      <c r="N17" s="37" t="s">
        <v>381</v>
      </c>
      <c r="O17" s="39" t="s">
        <v>382</v>
      </c>
    </row>
    <row r="18" spans="1:15">
      <c r="A18" s="57" t="s">
        <v>352</v>
      </c>
      <c r="B18" s="58" t="s">
        <v>383</v>
      </c>
      <c r="C18" s="59" t="s">
        <v>384</v>
      </c>
      <c r="D18" s="59" t="s">
        <v>385</v>
      </c>
      <c r="E18" s="59" t="s">
        <v>386</v>
      </c>
      <c r="F18" s="60" t="s">
        <v>387</v>
      </c>
      <c r="H18" s="41" t="s">
        <v>327</v>
      </c>
      <c r="I18" s="42" t="s">
        <v>66</v>
      </c>
      <c r="J18" s="42" t="s">
        <v>388</v>
      </c>
      <c r="K18" s="42" t="s">
        <v>94</v>
      </c>
      <c r="L18" s="42" t="s">
        <v>389</v>
      </c>
      <c r="M18" s="42" t="s">
        <v>380</v>
      </c>
      <c r="N18" s="42" t="s">
        <v>390</v>
      </c>
      <c r="O18" s="44" t="s">
        <v>391</v>
      </c>
    </row>
    <row r="19" spans="1:15">
      <c r="A19" s="53" t="s">
        <v>352</v>
      </c>
      <c r="B19" s="54" t="s">
        <v>392</v>
      </c>
      <c r="C19" s="55" t="s">
        <v>393</v>
      </c>
      <c r="D19" s="55" t="s">
        <v>394</v>
      </c>
      <c r="E19" s="55" t="s">
        <v>395</v>
      </c>
      <c r="F19" s="56" t="s">
        <v>396</v>
      </c>
      <c r="H19" s="36" t="s">
        <v>327</v>
      </c>
      <c r="I19" s="37" t="s">
        <v>64</v>
      </c>
      <c r="J19" s="37" t="s">
        <v>397</v>
      </c>
      <c r="K19" s="37" t="s">
        <v>398</v>
      </c>
      <c r="L19" s="37" t="s">
        <v>399</v>
      </c>
      <c r="M19" s="37" t="s">
        <v>380</v>
      </c>
      <c r="N19" s="37" t="s">
        <v>400</v>
      </c>
      <c r="O19" s="39" t="s">
        <v>401</v>
      </c>
    </row>
    <row r="20" spans="1:15">
      <c r="A20" s="57" t="s">
        <v>352</v>
      </c>
      <c r="B20" s="58" t="s">
        <v>402</v>
      </c>
      <c r="C20" s="59" t="s">
        <v>403</v>
      </c>
      <c r="D20" s="59" t="s">
        <v>279</v>
      </c>
      <c r="E20" s="59" t="s">
        <v>404</v>
      </c>
      <c r="F20" s="60" t="s">
        <v>405</v>
      </c>
      <c r="H20" s="61" t="s">
        <v>327</v>
      </c>
      <c r="I20" s="76" t="s">
        <v>406</v>
      </c>
      <c r="J20" s="76" t="s">
        <v>407</v>
      </c>
      <c r="K20" s="76" t="s">
        <v>408</v>
      </c>
      <c r="L20" s="76" t="s">
        <v>409</v>
      </c>
      <c r="M20" s="76" t="s">
        <v>380</v>
      </c>
      <c r="N20" s="76" t="s">
        <v>410</v>
      </c>
      <c r="O20" s="77" t="s">
        <v>411</v>
      </c>
    </row>
    <row r="21" spans="1:15">
      <c r="A21" s="53" t="s">
        <v>352</v>
      </c>
      <c r="B21" s="54" t="s">
        <v>412</v>
      </c>
      <c r="C21" s="55" t="s">
        <v>413</v>
      </c>
      <c r="D21" s="55" t="s">
        <v>95</v>
      </c>
      <c r="E21" s="55" t="s">
        <v>414</v>
      </c>
      <c r="F21" s="56" t="s">
        <v>415</v>
      </c>
      <c r="O21" s="78"/>
    </row>
    <row r="22" spans="1:15">
      <c r="A22" s="62" t="s">
        <v>352</v>
      </c>
      <c r="B22" s="63" t="s">
        <v>416</v>
      </c>
      <c r="C22" s="64" t="s">
        <v>417</v>
      </c>
      <c r="D22" s="64" t="s">
        <v>418</v>
      </c>
      <c r="E22" s="64" t="s">
        <v>419</v>
      </c>
      <c r="F22" s="65" t="s">
        <v>420</v>
      </c>
    </row>
    <row r="24" spans="1:15">
      <c r="A24" s="66" t="s">
        <v>421</v>
      </c>
      <c r="B24" t="s">
        <v>422</v>
      </c>
      <c r="H24" s="66" t="s">
        <v>421</v>
      </c>
      <c r="I24" t="s">
        <v>423</v>
      </c>
    </row>
    <row r="25" spans="1:15">
      <c r="A25" s="251"/>
      <c r="B25" s="251"/>
    </row>
    <row r="27" spans="1:15" ht="17">
      <c r="A27" s="67" t="s">
        <v>424</v>
      </c>
      <c r="B27" s="68"/>
      <c r="C27" s="68"/>
      <c r="H27" s="67" t="s">
        <v>424</v>
      </c>
    </row>
    <row r="28" spans="1:15" ht="17">
      <c r="A28" s="252" t="s">
        <v>425</v>
      </c>
      <c r="B28" s="252"/>
      <c r="C28" s="68" t="s">
        <v>426</v>
      </c>
      <c r="D28" s="68"/>
      <c r="H28" s="66" t="s">
        <v>427</v>
      </c>
      <c r="I28" t="s">
        <v>428</v>
      </c>
    </row>
    <row r="29" spans="1:15" ht="36" customHeight="1">
      <c r="A29" s="252" t="s">
        <v>429</v>
      </c>
      <c r="B29" s="252"/>
      <c r="C29" s="68" t="s">
        <v>430</v>
      </c>
      <c r="D29" s="68"/>
      <c r="H29" s="66" t="s">
        <v>431</v>
      </c>
      <c r="I29" s="253" t="s">
        <v>432</v>
      </c>
      <c r="J29" s="253"/>
      <c r="K29" s="253"/>
      <c r="L29" s="253"/>
    </row>
    <row r="30" spans="1:15" ht="17">
      <c r="A30" s="252" t="s">
        <v>433</v>
      </c>
      <c r="B30" s="252"/>
      <c r="C30" s="68" t="s">
        <v>434</v>
      </c>
      <c r="D30" s="68"/>
      <c r="H30" s="66" t="s">
        <v>435</v>
      </c>
      <c r="I30" t="s">
        <v>436</v>
      </c>
    </row>
    <row r="31" spans="1:15" ht="17">
      <c r="A31" s="252" t="s">
        <v>437</v>
      </c>
      <c r="B31" s="252"/>
      <c r="C31" s="68" t="s">
        <v>438</v>
      </c>
      <c r="D31" s="68"/>
      <c r="H31" s="66" t="s">
        <v>439</v>
      </c>
      <c r="I31" t="s">
        <v>440</v>
      </c>
    </row>
    <row r="32" spans="1:15" ht="17">
      <c r="A32" s="252" t="s">
        <v>441</v>
      </c>
      <c r="B32" s="252"/>
      <c r="C32" s="68" t="s">
        <v>442</v>
      </c>
      <c r="D32" s="68"/>
      <c r="H32" s="66" t="s">
        <v>443</v>
      </c>
      <c r="I32" t="s">
        <v>444</v>
      </c>
    </row>
    <row r="33" spans="1:12" ht="17">
      <c r="A33" s="252" t="s">
        <v>445</v>
      </c>
      <c r="B33" s="252"/>
      <c r="C33" s="68" t="s">
        <v>446</v>
      </c>
      <c r="D33" s="68"/>
      <c r="H33" s="66" t="s">
        <v>447</v>
      </c>
      <c r="I33" s="254" t="s">
        <v>448</v>
      </c>
      <c r="J33" s="254"/>
      <c r="K33" s="254"/>
      <c r="L33" s="254"/>
    </row>
    <row r="34" spans="1:12" ht="17">
      <c r="A34" s="252" t="s">
        <v>449</v>
      </c>
      <c r="B34" s="252"/>
      <c r="C34" s="68" t="s">
        <v>450</v>
      </c>
      <c r="D34" s="68"/>
    </row>
    <row r="35" spans="1:12" ht="17">
      <c r="A35" s="252" t="s">
        <v>451</v>
      </c>
      <c r="B35" s="252"/>
      <c r="C35" s="68" t="s">
        <v>452</v>
      </c>
      <c r="D35" s="68"/>
    </row>
    <row r="36" spans="1:12" ht="17">
      <c r="A36" s="252" t="s">
        <v>453</v>
      </c>
      <c r="B36" s="252"/>
      <c r="C36" s="68" t="s">
        <v>454</v>
      </c>
      <c r="D36" s="68"/>
    </row>
    <row r="37" spans="1:12" ht="17">
      <c r="A37" s="252" t="s">
        <v>447</v>
      </c>
      <c r="B37" s="252"/>
      <c r="C37" s="68" t="s">
        <v>455</v>
      </c>
      <c r="D37" s="68"/>
      <c r="E37" s="68"/>
    </row>
    <row r="38" spans="1:12" ht="17">
      <c r="A38" s="68"/>
      <c r="C38" s="68" t="s">
        <v>456</v>
      </c>
      <c r="D38" s="68"/>
      <c r="E38" s="68"/>
    </row>
    <row r="39" spans="1:12" ht="17">
      <c r="A39" s="68"/>
      <c r="C39" s="68" t="s">
        <v>457</v>
      </c>
      <c r="D39" s="68"/>
      <c r="E39" s="68"/>
    </row>
    <row r="40" spans="1:12" ht="17">
      <c r="A40" s="68"/>
      <c r="C40" s="68" t="s">
        <v>458</v>
      </c>
      <c r="D40" s="68"/>
      <c r="E40" s="68"/>
    </row>
    <row r="41" spans="1:12" ht="17">
      <c r="A41" s="68"/>
      <c r="C41" s="68" t="s">
        <v>459</v>
      </c>
      <c r="D41" s="68"/>
      <c r="E41" s="68"/>
    </row>
    <row r="42" spans="1:12" ht="17">
      <c r="B42" s="68"/>
      <c r="C42" s="68"/>
      <c r="D42" s="68"/>
      <c r="E42" s="68"/>
    </row>
  </sheetData>
  <mergeCells count="15">
    <mergeCell ref="A34:B34"/>
    <mergeCell ref="A35:B35"/>
    <mergeCell ref="A36:B36"/>
    <mergeCell ref="A37:B37"/>
    <mergeCell ref="A30:B30"/>
    <mergeCell ref="A31:B31"/>
    <mergeCell ref="A32:B32"/>
    <mergeCell ref="A33:B33"/>
    <mergeCell ref="I33:L33"/>
    <mergeCell ref="A1:F1"/>
    <mergeCell ref="H1:M1"/>
    <mergeCell ref="A25:B25"/>
    <mergeCell ref="A28:B28"/>
    <mergeCell ref="A29:B29"/>
    <mergeCell ref="I29:L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"/>
  <sheetViews>
    <sheetView showGridLines="0" tabSelected="1" workbookViewId="0">
      <selection activeCell="I16" sqref="I16"/>
    </sheetView>
  </sheetViews>
  <sheetFormatPr baseColWidth="10" defaultColWidth="9" defaultRowHeight="15"/>
  <cols>
    <col min="1" max="1" width="14" customWidth="1"/>
    <col min="2" max="2" width="7.83203125" customWidth="1"/>
    <col min="3" max="3" width="12.6640625" customWidth="1"/>
    <col min="4" max="4" width="17.33203125" customWidth="1"/>
    <col min="5" max="5" width="6.83203125" customWidth="1"/>
    <col min="6" max="6" width="19" customWidth="1"/>
    <col min="7" max="7" width="13.6640625" customWidth="1"/>
    <col min="8" max="8" width="6.6640625" customWidth="1"/>
    <col min="9" max="9" width="19.5" customWidth="1"/>
  </cols>
  <sheetData>
    <row r="1" spans="1:9" ht="32" customHeight="1">
      <c r="A1" s="255" t="s">
        <v>462</v>
      </c>
      <c r="B1" s="255"/>
      <c r="C1" s="255"/>
      <c r="D1" s="255"/>
      <c r="E1" s="255"/>
      <c r="F1" s="255"/>
      <c r="G1" s="255"/>
      <c r="H1" s="255"/>
      <c r="I1" s="255"/>
    </row>
    <row r="2" spans="1:9" ht="19.5" customHeight="1">
      <c r="A2" s="256" t="s">
        <v>136</v>
      </c>
      <c r="B2" s="256"/>
      <c r="C2" s="257"/>
      <c r="D2" s="258" t="s">
        <v>137</v>
      </c>
      <c r="E2" s="259"/>
      <c r="F2" s="260"/>
      <c r="G2" s="261" t="s">
        <v>138</v>
      </c>
      <c r="H2" s="262"/>
      <c r="I2" s="262"/>
    </row>
    <row r="3" spans="1:9" ht="24.75" customHeight="1">
      <c r="A3" s="1" t="s">
        <v>145</v>
      </c>
      <c r="B3" s="1" t="s">
        <v>3</v>
      </c>
      <c r="C3" s="2" t="s">
        <v>146</v>
      </c>
      <c r="D3" s="3" t="s">
        <v>149</v>
      </c>
      <c r="E3" s="4" t="s">
        <v>3</v>
      </c>
      <c r="F3" s="5" t="s">
        <v>146</v>
      </c>
      <c r="G3" s="6" t="s">
        <v>150</v>
      </c>
      <c r="H3" s="7" t="s">
        <v>3</v>
      </c>
      <c r="I3" s="7" t="s">
        <v>146</v>
      </c>
    </row>
    <row r="4" spans="1:9" ht="16">
      <c r="A4" s="263" t="s">
        <v>155</v>
      </c>
      <c r="B4" s="8" t="s">
        <v>15</v>
      </c>
      <c r="C4" s="9" t="s">
        <v>460</v>
      </c>
      <c r="D4" s="10" t="s">
        <v>157</v>
      </c>
      <c r="E4" s="11" t="s">
        <v>66</v>
      </c>
      <c r="F4" s="12" t="s">
        <v>67</v>
      </c>
      <c r="G4" s="264" t="s">
        <v>158</v>
      </c>
      <c r="H4" s="8" t="s">
        <v>92</v>
      </c>
      <c r="I4" s="8" t="s">
        <v>159</v>
      </c>
    </row>
    <row r="5" spans="1:9" ht="16">
      <c r="A5" s="263"/>
      <c r="B5" s="1" t="s">
        <v>19</v>
      </c>
      <c r="C5" s="2" t="s">
        <v>170</v>
      </c>
      <c r="D5" s="3" t="s">
        <v>164</v>
      </c>
      <c r="E5" s="14" t="s">
        <v>68</v>
      </c>
      <c r="F5" s="5" t="s">
        <v>69</v>
      </c>
      <c r="G5" s="264"/>
      <c r="H5" s="7" t="s">
        <v>96</v>
      </c>
      <c r="I5" s="7" t="s">
        <v>97</v>
      </c>
    </row>
    <row r="6" spans="1:9" ht="27" customHeight="1">
      <c r="A6" s="263"/>
      <c r="B6" s="8" t="s">
        <v>25</v>
      </c>
      <c r="C6" s="9" t="s">
        <v>26</v>
      </c>
      <c r="D6" s="10" t="s">
        <v>171</v>
      </c>
      <c r="E6" s="11" t="s">
        <v>71</v>
      </c>
      <c r="F6" s="12" t="s">
        <v>72</v>
      </c>
      <c r="G6" s="264"/>
      <c r="H6" s="8" t="s">
        <v>101</v>
      </c>
      <c r="I6" s="8" t="s">
        <v>102</v>
      </c>
    </row>
    <row r="7" spans="1:9" ht="32.25" customHeight="1">
      <c r="A7" s="1" t="s">
        <v>182</v>
      </c>
      <c r="B7" s="1" t="s">
        <v>31</v>
      </c>
      <c r="C7" s="2" t="s">
        <v>32</v>
      </c>
      <c r="D7" s="3" t="s">
        <v>176</v>
      </c>
      <c r="E7" s="14" t="s">
        <v>74</v>
      </c>
      <c r="F7" s="5" t="s">
        <v>75</v>
      </c>
      <c r="G7" s="6" t="s">
        <v>177</v>
      </c>
      <c r="H7" s="7" t="s">
        <v>105</v>
      </c>
      <c r="I7" s="7" t="s">
        <v>106</v>
      </c>
    </row>
    <row r="8" spans="1:9" ht="32.25" customHeight="1">
      <c r="A8" s="8" t="s">
        <v>189</v>
      </c>
      <c r="B8" s="8" t="s">
        <v>37</v>
      </c>
      <c r="C8" s="9" t="s">
        <v>38</v>
      </c>
      <c r="D8" s="10" t="s">
        <v>183</v>
      </c>
      <c r="E8" s="11" t="s">
        <v>80</v>
      </c>
      <c r="F8" s="12" t="s">
        <v>81</v>
      </c>
      <c r="G8" s="13" t="s">
        <v>183</v>
      </c>
      <c r="H8" s="8" t="s">
        <v>109</v>
      </c>
      <c r="I8" s="8" t="s">
        <v>110</v>
      </c>
    </row>
    <row r="9" spans="1:9" ht="32.25" customHeight="1">
      <c r="A9" s="1" t="s">
        <v>197</v>
      </c>
      <c r="B9" s="1" t="s">
        <v>43</v>
      </c>
      <c r="C9" s="2" t="s">
        <v>44</v>
      </c>
      <c r="D9" s="3" t="s">
        <v>190</v>
      </c>
      <c r="E9" s="14" t="s">
        <v>83</v>
      </c>
      <c r="F9" s="5" t="s">
        <v>84</v>
      </c>
      <c r="G9" s="6" t="s">
        <v>190</v>
      </c>
      <c r="H9" s="7" t="s">
        <v>113</v>
      </c>
      <c r="I9" s="7" t="s">
        <v>114</v>
      </c>
    </row>
    <row r="10" spans="1:9" ht="32.25" customHeight="1">
      <c r="A10" s="8" t="s">
        <v>198</v>
      </c>
      <c r="B10" s="8" t="s">
        <v>49</v>
      </c>
      <c r="C10" s="9" t="s">
        <v>50</v>
      </c>
      <c r="D10" s="10" t="s">
        <v>198</v>
      </c>
      <c r="E10" s="11" t="s">
        <v>85</v>
      </c>
      <c r="F10" s="12" t="s">
        <v>86</v>
      </c>
      <c r="G10" s="13" t="s">
        <v>198</v>
      </c>
      <c r="H10" s="8" t="s">
        <v>117</v>
      </c>
      <c r="I10" s="8" t="s">
        <v>118</v>
      </c>
    </row>
    <row r="11" spans="1:9" ht="32.25" customHeight="1">
      <c r="A11" s="1" t="s">
        <v>201</v>
      </c>
      <c r="B11" s="1" t="s">
        <v>55</v>
      </c>
      <c r="C11" s="2" t="s">
        <v>56</v>
      </c>
      <c r="D11" s="3" t="s">
        <v>201</v>
      </c>
      <c r="E11" s="14" t="s">
        <v>87</v>
      </c>
      <c r="F11" s="5" t="s">
        <v>202</v>
      </c>
      <c r="G11" s="6" t="s">
        <v>201</v>
      </c>
      <c r="H11" s="7" t="s">
        <v>120</v>
      </c>
      <c r="I11" s="7" t="s">
        <v>121</v>
      </c>
    </row>
    <row r="12" spans="1:9" ht="32.25" customHeight="1"/>
    <row r="13" spans="1:9" ht="32.25" customHeight="1">
      <c r="D13" s="15"/>
      <c r="E13" s="15"/>
    </row>
  </sheetData>
  <mergeCells count="6">
    <mergeCell ref="A1:I1"/>
    <mergeCell ref="A2:C2"/>
    <mergeCell ref="D2:F2"/>
    <mergeCell ref="G2:I2"/>
    <mergeCell ref="A4:A6"/>
    <mergeCell ref="G4:G6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职级对应薪酬表</vt:lpstr>
      <vt:lpstr>现有人员薪资</vt:lpstr>
      <vt:lpstr>一线公司职级薪酬对应表</vt:lpstr>
      <vt:lpstr>职级标准</vt:lpstr>
    </vt:vector>
  </TitlesOfParts>
  <Company>游族网络股份有限公司（SZ.002174）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葛颂(颂颂)</dc:creator>
  <cp:lastModifiedBy>fiveowuus@icloud.com</cp:lastModifiedBy>
  <dcterms:created xsi:type="dcterms:W3CDTF">2018-12-13T06:11:00Z</dcterms:created>
  <dcterms:modified xsi:type="dcterms:W3CDTF">2025-09-10T15:49:36Z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129FCB84AF4547129CB495AC0070A2A2_12</vt:lpwstr>
  </property>
  <property fmtid="{D5CDD505-2E9C-101B-9397-08002B2CF9AE}" pid="3" name="KSOProductBuildVer">
    <vt:lpwstr>2052-12.1.0.22529</vt:lpwstr>
  </property>
</Properties>
</file>